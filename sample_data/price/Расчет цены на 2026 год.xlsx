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B55F1B-4C7A-40CF-8479-B6E69A654304}" xr6:coauthVersionLast="37" xr6:coauthVersionMax="37" xr10:uidLastSave="{00000000-0000-0000-0000-000000000000}"/>
  <bookViews>
    <workbookView xWindow="0" yWindow="0" windowWidth="24000" windowHeight="9525" activeTab="2" xr2:uid="{D4E25195-20F1-4F0D-9C83-B86EE9925F3D}"/>
  </bookViews>
  <sheets>
    <sheet name="2024" sheetId="1" r:id="rId1"/>
    <sheet name="2025" sheetId="2" r:id="rId2"/>
    <sheet name="2026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3" l="1"/>
  <c r="D44" i="3" l="1"/>
  <c r="D43" i="3"/>
  <c r="D42" i="3"/>
  <c r="D47" i="3" l="1"/>
  <c r="D45" i="3"/>
  <c r="D40" i="3" l="1"/>
  <c r="E41" i="3" l="1"/>
  <c r="E4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AC35" i="3"/>
  <c r="K39" i="2" l="1"/>
  <c r="K40" i="2" s="1"/>
  <c r="W34" i="2" l="1"/>
  <c r="V34" i="2" s="1"/>
  <c r="AB29" i="2" l="1"/>
  <c r="AB28" i="2"/>
  <c r="AC29" i="2" l="1"/>
  <c r="AC28" i="2"/>
  <c r="AB30" i="2"/>
  <c r="M34" i="2"/>
  <c r="Y8" i="2" l="1"/>
  <c r="T34" i="2"/>
  <c r="U34" i="2" s="1"/>
  <c r="S34" i="2"/>
  <c r="Q34" i="2"/>
  <c r="R13" i="2"/>
  <c r="S13" i="2" s="1"/>
  <c r="R10" i="2"/>
  <c r="S10" i="2" s="1"/>
  <c r="AA15" i="2"/>
  <c r="O33" i="2" l="1"/>
  <c r="O32" i="2"/>
  <c r="O30" i="2"/>
  <c r="O29" i="2"/>
  <c r="O25" i="2"/>
  <c r="O21" i="2"/>
  <c r="O19" i="2"/>
  <c r="O14" i="2"/>
  <c r="O12" i="2"/>
  <c r="O10" i="2"/>
  <c r="O9" i="2"/>
  <c r="O8" i="2"/>
  <c r="M8" i="2"/>
  <c r="M9" i="2"/>
  <c r="M10" i="2"/>
  <c r="M12" i="2"/>
  <c r="M14" i="2"/>
  <c r="M19" i="2"/>
  <c r="M21" i="2"/>
  <c r="M25" i="2"/>
  <c r="M29" i="2"/>
  <c r="M30" i="2"/>
  <c r="M32" i="2"/>
  <c r="M33" i="2"/>
  <c r="O34" i="2" l="1"/>
  <c r="B28" i="2" l="1"/>
  <c r="J34" i="2" l="1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34" i="2"/>
  <c r="B33" i="2"/>
  <c r="B32" i="2"/>
  <c r="B31" i="2"/>
  <c r="B30" i="2"/>
  <c r="B29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<sst xmlns="http://schemas.openxmlformats.org/spreadsheetml/2006/main" count="387" uniqueCount="75">
  <si>
    <t>Станция</t>
  </si>
  <si>
    <t>Амазар</t>
  </si>
  <si>
    <t>Антипиха</t>
  </si>
  <si>
    <t>Атамановка</t>
  </si>
  <si>
    <t>Борзя</t>
  </si>
  <si>
    <t>Дарасун</t>
  </si>
  <si>
    <t>Жирекен</t>
  </si>
  <si>
    <t>Забайкальск</t>
  </si>
  <si>
    <t>Зилово</t>
  </si>
  <si>
    <t>Кадала</t>
  </si>
  <si>
    <t>Карымская</t>
  </si>
  <si>
    <t>Ксеньевская</t>
  </si>
  <si>
    <t>Маккавеево</t>
  </si>
  <si>
    <t>Могойтуй</t>
  </si>
  <si>
    <t>Могоча</t>
  </si>
  <si>
    <t>Нерчинск</t>
  </si>
  <si>
    <t>Новая</t>
  </si>
  <si>
    <t>Оловянная</t>
  </si>
  <si>
    <t>Приаргунск</t>
  </si>
  <si>
    <t>Сбега</t>
  </si>
  <si>
    <t>Солнцевая</t>
  </si>
  <si>
    <t>Сретенск</t>
  </si>
  <si>
    <t>Урюм</t>
  </si>
  <si>
    <t>Чернышевск</t>
  </si>
  <si>
    <t>Чита</t>
  </si>
  <si>
    <t>Шилка</t>
  </si>
  <si>
    <t>Ясная</t>
  </si>
  <si>
    <t>Восточный</t>
  </si>
  <si>
    <t>Приисковая</t>
  </si>
  <si>
    <t>Самовывоз</t>
  </si>
  <si>
    <t>2БР</t>
  </si>
  <si>
    <t>Харанор</t>
  </si>
  <si>
    <t>2БПК</t>
  </si>
  <si>
    <t>2БОМСШ</t>
  </si>
  <si>
    <t>2БОМ</t>
  </si>
  <si>
    <t>Новая Чара</t>
  </si>
  <si>
    <t>-</t>
  </si>
  <si>
    <t>Куанда</t>
  </si>
  <si>
    <t>Икабья</t>
  </si>
  <si>
    <t>2БПКО</t>
  </si>
  <si>
    <t>Бородинский</t>
  </si>
  <si>
    <t>Уртуйский</t>
  </si>
  <si>
    <t>Буртуйский</t>
  </si>
  <si>
    <t>3БР</t>
  </si>
  <si>
    <t>Калькуляция стоимости угля СУЭК на декабрь 2024 года</t>
  </si>
  <si>
    <t>(0-300)</t>
  </si>
  <si>
    <t>(50-300)</t>
  </si>
  <si>
    <t>(0-50)</t>
  </si>
  <si>
    <t>(13-50)</t>
  </si>
  <si>
    <t>без НДС</t>
  </si>
  <si>
    <t>с НДС</t>
  </si>
  <si>
    <t>Уртуй</t>
  </si>
  <si>
    <t>2Б</t>
  </si>
  <si>
    <t>Калькуляция стоимости угля на август 2025 года</t>
  </si>
  <si>
    <t>Тигня</t>
  </si>
  <si>
    <t>Черемха</t>
  </si>
  <si>
    <t>ДКОМ</t>
  </si>
  <si>
    <t>Абакан</t>
  </si>
  <si>
    <t>(50-200), (25-50)</t>
  </si>
  <si>
    <t>Букачача</t>
  </si>
  <si>
    <t>ДР</t>
  </si>
  <si>
    <t>Буртуй</t>
  </si>
  <si>
    <t>(15-50)</t>
  </si>
  <si>
    <t>3БОМ</t>
  </si>
  <si>
    <t>(13-80)</t>
  </si>
  <si>
    <t>ДПК, ДО</t>
  </si>
  <si>
    <t>Калькуляция стоимости угля на январь 2026 года</t>
  </si>
  <si>
    <t>Зашулан</t>
  </si>
  <si>
    <t>Лесная</t>
  </si>
  <si>
    <t>Марка</t>
  </si>
  <si>
    <t>Рзарез</t>
  </si>
  <si>
    <t>3БПК</t>
  </si>
  <si>
    <t>ЗБР</t>
  </si>
  <si>
    <t>Прочие разрезы (самовывоз)</t>
  </si>
  <si>
    <t>Черновский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</si>
</sst>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0.000"/>
    <numFmt numFmtId="165" formatCode="0.0000"/>
    <numFmt numFmtId="166" formatCode="_-* #,##0.000\ _₽_-;\-* #,##0.000\ _₽_-;_-* &quot;-&quot;??\ _₽_-;_-@_-"/>
  </numFmts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4" fontId="2" fillId="0" borderId="2" xfId="0" applyNumberFormat="1" applyFont="1" applyBorder="1" applyAlignment="1">
      <alignment horizontal="center"/>
    </xf>
    <xf numFmtId="0" fontId="1" fillId="0" borderId="13" xfId="0" applyFont="1" applyBorder="1"/>
    <xf numFmtId="4" fontId="2" fillId="0" borderId="10" xfId="0" applyNumberFormat="1" applyFont="1" applyBorder="1" applyAlignment="1">
      <alignment horizontal="center"/>
    </xf>
    <xf numFmtId="4" fontId="2" fillId="0" borderId="11" xfId="0" applyNumberFormat="1" applyFont="1" applyBorder="1" applyAlignment="1">
      <alignment horizontal="center"/>
    </xf>
    <xf numFmtId="4" fontId="2" fillId="0" borderId="12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0" fontId="1" fillId="0" borderId="22" xfId="0" applyFont="1" applyBorder="1"/>
    <xf numFmtId="4" fontId="1" fillId="0" borderId="13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4" fontId="1" fillId="0" borderId="9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horizontal="center"/>
    </xf>
    <xf numFmtId="4" fontId="1" fillId="0" borderId="8" xfId="0" applyNumberFormat="1" applyFont="1" applyFill="1" applyBorder="1" applyAlignment="1">
      <alignment horizontal="center"/>
    </xf>
    <xf numFmtId="4" fontId="1" fillId="0" borderId="20" xfId="0" applyNumberFormat="1" applyFont="1" applyFill="1" applyBorder="1" applyAlignment="1">
      <alignment horizontal="center"/>
    </xf>
    <xf numFmtId="4" fontId="1" fillId="0" borderId="14" xfId="0" applyNumberFormat="1" applyFont="1" applyFill="1" applyBorder="1" applyAlignment="1">
      <alignment horizontal="center"/>
    </xf>
    <xf numFmtId="4" fontId="1" fillId="0" borderId="15" xfId="0" applyNumberFormat="1" applyFont="1" applyFill="1" applyBorder="1" applyAlignment="1">
      <alignment horizontal="center"/>
    </xf>
    <xf numFmtId="4" fontId="1" fillId="0" borderId="16" xfId="0" applyNumberFormat="1" applyFont="1" applyFill="1" applyBorder="1" applyAlignment="1">
      <alignment horizontal="center"/>
    </xf>
    <xf numFmtId="4" fontId="1" fillId="0" borderId="13" xfId="0" applyNumberFormat="1" applyFont="1" applyFill="1" applyBorder="1" applyAlignment="1">
      <alignment horizontal="center"/>
    </xf>
    <xf numFmtId="4" fontId="1" fillId="0" borderId="19" xfId="0" applyNumberFormat="1" applyFont="1" applyFill="1" applyBorder="1" applyAlignment="1">
      <alignment horizontal="center"/>
    </xf>
    <xf numFmtId="4" fontId="1" fillId="0" borderId="23" xfId="0" applyNumberFormat="1" applyFont="1" applyFill="1" applyBorder="1" applyAlignment="1">
      <alignment horizontal="center"/>
    </xf>
    <xf numFmtId="4" fontId="1" fillId="0" borderId="24" xfId="0" applyNumberFormat="1" applyFont="1" applyFill="1" applyBorder="1" applyAlignment="1">
      <alignment horizontal="center"/>
    </xf>
    <xf numFmtId="4" fontId="1" fillId="0" borderId="25" xfId="0" applyNumberFormat="1" applyFont="1" applyFill="1" applyBorder="1" applyAlignment="1">
      <alignment horizontal="center"/>
    </xf>
    <xf numFmtId="4" fontId="1" fillId="0" borderId="22" xfId="0" applyNumberFormat="1" applyFont="1" applyFill="1" applyBorder="1" applyAlignment="1">
      <alignment horizontal="center"/>
    </xf>
    <xf numFmtId="4" fontId="1" fillId="0" borderId="10" xfId="0" applyNumberFormat="1" applyFont="1" applyFill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center" vertical="center"/>
    </xf>
    <xf numFmtId="4" fontId="1" fillId="0" borderId="12" xfId="0" applyNumberFormat="1" applyFont="1" applyFill="1" applyBorder="1" applyAlignment="1">
      <alignment horizontal="center" vertical="center"/>
    </xf>
    <xf numFmtId="4" fontId="1" fillId="0" borderId="4" xfId="0" applyNumberFormat="1" applyFont="1" applyFill="1" applyBorder="1" applyAlignment="1">
      <alignment horizontal="center" vertical="center"/>
    </xf>
    <xf numFmtId="4" fontId="1" fillId="0" borderId="10" xfId="0" applyNumberFormat="1" applyFont="1" applyFill="1" applyBorder="1" applyAlignment="1">
      <alignment horizontal="center"/>
    </xf>
    <xf numFmtId="4" fontId="1" fillId="0" borderId="18" xfId="0" applyNumberFormat="1" applyFont="1" applyFill="1" applyBorder="1" applyAlignment="1">
      <alignment horizontal="center"/>
    </xf>
    <xf numFmtId="0" fontId="1" fillId="0" borderId="3" xfId="0" applyFont="1" applyFill="1" applyBorder="1"/>
    <xf numFmtId="0" fontId="4" fillId="0" borderId="0" xfId="0" applyFont="1"/>
    <xf numFmtId="4" fontId="4" fillId="0" borderId="0" xfId="0" applyNumberFormat="1" applyFont="1"/>
    <xf numFmtId="0" fontId="5" fillId="0" borderId="33" xfId="0" applyFont="1" applyBorder="1" applyAlignment="1">
      <alignment horizontal="center" vertical="center"/>
    </xf>
    <xf numFmtId="4" fontId="5" fillId="0" borderId="18" xfId="0" applyNumberFormat="1" applyFont="1" applyBorder="1" applyAlignment="1">
      <alignment horizontal="center"/>
    </xf>
    <xf numFmtId="4" fontId="5" fillId="0" borderId="37" xfId="0" applyNumberFormat="1" applyFont="1" applyBorder="1" applyAlignment="1">
      <alignment horizontal="center"/>
    </xf>
    <xf numFmtId="4" fontId="4" fillId="0" borderId="10" xfId="0" applyNumberFormat="1" applyFont="1" applyFill="1" applyBorder="1" applyAlignment="1">
      <alignment horizontal="center" vertical="center"/>
    </xf>
    <xf numFmtId="4" fontId="4" fillId="0" borderId="18" xfId="0" applyNumberFormat="1" applyFont="1" applyFill="1" applyBorder="1" applyAlignment="1">
      <alignment horizontal="center" vertical="center"/>
    </xf>
    <xf numFmtId="4" fontId="4" fillId="0" borderId="12" xfId="0" applyNumberFormat="1" applyFont="1" applyFill="1" applyBorder="1" applyAlignment="1">
      <alignment horizontal="center" vertical="center"/>
    </xf>
    <xf numFmtId="4" fontId="4" fillId="0" borderId="28" xfId="0" applyNumberFormat="1" applyFont="1" applyFill="1" applyBorder="1" applyAlignment="1">
      <alignment horizontal="center" vertical="center"/>
    </xf>
    <xf numFmtId="2" fontId="4" fillId="0" borderId="0" xfId="0" applyNumberFormat="1" applyFont="1"/>
    <xf numFmtId="166" fontId="4" fillId="0" borderId="0" xfId="1" applyNumberFormat="1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13" xfId="0" applyFont="1" applyBorder="1" applyAlignment="1">
      <alignment vertical="center"/>
    </xf>
    <xf numFmtId="4" fontId="4" fillId="0" borderId="14" xfId="0" applyNumberFormat="1" applyFont="1" applyFill="1" applyBorder="1" applyAlignment="1">
      <alignment horizontal="center" vertical="center"/>
    </xf>
    <xf numFmtId="4" fontId="4" fillId="0" borderId="19" xfId="0" applyNumberFormat="1" applyFont="1" applyFill="1" applyBorder="1" applyAlignment="1">
      <alignment horizontal="center" vertical="center"/>
    </xf>
    <xf numFmtId="4" fontId="4" fillId="0" borderId="16" xfId="0" applyNumberFormat="1" applyFont="1" applyFill="1" applyBorder="1" applyAlignment="1">
      <alignment horizontal="center" vertical="center"/>
    </xf>
    <xf numFmtId="4" fontId="4" fillId="0" borderId="30" xfId="0" applyNumberFormat="1" applyFont="1" applyFill="1" applyBorder="1" applyAlignment="1">
      <alignment horizontal="center" vertical="center"/>
    </xf>
    <xf numFmtId="4" fontId="4" fillId="0" borderId="2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4" fontId="4" fillId="0" borderId="8" xfId="0" applyNumberFormat="1" applyFont="1" applyFill="1" applyBorder="1" applyAlignment="1">
      <alignment horizontal="center" vertical="center"/>
    </xf>
    <xf numFmtId="4" fontId="4" fillId="0" borderId="9" xfId="0" applyNumberFormat="1" applyFont="1" applyFill="1" applyBorder="1" applyAlignment="1">
      <alignment horizontal="center" vertical="center"/>
    </xf>
    <xf numFmtId="4" fontId="4" fillId="0" borderId="3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43" fontId="4" fillId="0" borderId="0" xfId="1" applyFont="1"/>
    <xf numFmtId="43" fontId="4" fillId="0" borderId="0" xfId="1" applyFont="1" applyAlignment="1">
      <alignment vertical="center"/>
    </xf>
    <xf numFmtId="0" fontId="4" fillId="0" borderId="0" xfId="0" applyFont="1" applyAlignment="1">
      <alignment horizontal="center"/>
    </xf>
    <xf numFmtId="4" fontId="4" fillId="0" borderId="27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4" fillId="0" borderId="0" xfId="0" applyNumberFormat="1" applyFont="1"/>
    <xf numFmtId="0" fontId="4" fillId="0" borderId="1" xfId="0" applyFont="1" applyBorder="1" applyAlignment="1">
      <alignment horizontal="left" vertical="center"/>
    </xf>
    <xf numFmtId="4" fontId="2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2" fillId="0" borderId="21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5" fillId="0" borderId="34" xfId="0" applyNumberFormat="1" applyFont="1" applyBorder="1" applyAlignment="1">
      <alignment horizontal="center"/>
    </xf>
    <xf numFmtId="4" fontId="5" fillId="0" borderId="32" xfId="0" applyNumberFormat="1" applyFont="1" applyBorder="1" applyAlignment="1">
      <alignment horizontal="center"/>
    </xf>
    <xf numFmtId="4" fontId="5" fillId="0" borderId="39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" fontId="5" fillId="0" borderId="29" xfId="0" applyNumberFormat="1" applyFont="1" applyBorder="1" applyAlignment="1">
      <alignment horizontal="center"/>
    </xf>
    <xf numFmtId="4" fontId="5" fillId="0" borderId="27" xfId="0" applyNumberFormat="1" applyFont="1" applyBorder="1" applyAlignment="1">
      <alignment horizontal="center"/>
    </xf>
    <xf numFmtId="4" fontId="5" fillId="0" borderId="35" xfId="0" applyNumberFormat="1" applyFont="1" applyBorder="1" applyAlignment="1">
      <alignment horizontal="center"/>
    </xf>
    <xf numFmtId="4" fontId="5" fillId="0" borderId="36" xfId="0" applyNumberFormat="1" applyFont="1" applyBorder="1" applyAlignment="1">
      <alignment horizontal="center"/>
    </xf>
    <xf numFmtId="4" fontId="5" fillId="0" borderId="38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17FD-3CE1-4E6D-9DF6-ABCF42D0D5B6}">
  <sheetPr>
    <pageSetUpPr fitToPage="1"/>
  </sheetPr>
  <dimension ref="A1:N35"/>
  <sheetViews>
    <sheetView workbookViewId="0">
      <selection activeCell="K18" sqref="K18:O36"/>
    </sheetView>
  </sheetViews>
  <sheetFormatPr defaultRowHeight="18.75" x14ac:dyDescent="0.3"/>
  <cols>
    <col min="1" max="1" width="20" style="1" customWidth="1"/>
    <col min="2" max="3" width="12" style="2" customWidth="1"/>
    <col min="4" max="4" width="15.140625" style="2" bestFit="1" customWidth="1"/>
    <col min="5" max="5" width="12" style="2" customWidth="1"/>
    <col min="6" max="6" width="12.85546875" style="2" customWidth="1"/>
    <col min="7" max="7" width="12" style="2" customWidth="1"/>
    <col min="8" max="8" width="13.28515625" style="1" customWidth="1"/>
    <col min="9" max="9" width="18.5703125" style="1" customWidth="1"/>
    <col min="10" max="10" width="19.5703125" style="1" customWidth="1"/>
    <col min="11" max="14" width="10.42578125" style="1" bestFit="1" customWidth="1"/>
    <col min="15" max="16384" width="9.140625" style="1"/>
  </cols>
  <sheetData>
    <row r="1" spans="1:14" x14ac:dyDescent="0.3">
      <c r="A1" s="85" t="s">
        <v>44</v>
      </c>
      <c r="B1" s="85"/>
      <c r="C1" s="85"/>
      <c r="D1" s="85"/>
      <c r="E1" s="85"/>
      <c r="F1" s="85"/>
      <c r="G1" s="85"/>
      <c r="H1" s="85"/>
    </row>
    <row r="2" spans="1:14" ht="19.5" thickBot="1" x14ac:dyDescent="0.35"/>
    <row r="3" spans="1:14" x14ac:dyDescent="0.3">
      <c r="A3" s="81" t="s">
        <v>0</v>
      </c>
      <c r="B3" s="78" t="s">
        <v>27</v>
      </c>
      <c r="C3" s="79"/>
      <c r="D3" s="79"/>
      <c r="E3" s="80"/>
      <c r="F3" s="5" t="s">
        <v>31</v>
      </c>
      <c r="G3" s="83" t="s">
        <v>40</v>
      </c>
      <c r="H3" s="84"/>
      <c r="I3" s="5" t="s">
        <v>41</v>
      </c>
      <c r="J3" s="5" t="s">
        <v>42</v>
      </c>
    </row>
    <row r="4" spans="1:14" ht="19.5" thickBot="1" x14ac:dyDescent="0.35">
      <c r="A4" s="82"/>
      <c r="B4" s="7" t="s">
        <v>30</v>
      </c>
      <c r="C4" s="8" t="s">
        <v>32</v>
      </c>
      <c r="D4" s="8" t="s">
        <v>33</v>
      </c>
      <c r="E4" s="9" t="s">
        <v>34</v>
      </c>
      <c r="F4" s="10" t="s">
        <v>30</v>
      </c>
      <c r="G4" s="7" t="s">
        <v>30</v>
      </c>
      <c r="H4" s="11" t="s">
        <v>39</v>
      </c>
      <c r="I4" s="10" t="s">
        <v>30</v>
      </c>
      <c r="J4" s="10" t="s">
        <v>43</v>
      </c>
    </row>
    <row r="5" spans="1:14" x14ac:dyDescent="0.3">
      <c r="A5" s="6" t="s">
        <v>1</v>
      </c>
      <c r="B5" s="21">
        <v>4250.79</v>
      </c>
      <c r="C5" s="22">
        <v>5415.99</v>
      </c>
      <c r="D5" s="22">
        <v>4345.59</v>
      </c>
      <c r="E5" s="23">
        <v>4861.59</v>
      </c>
      <c r="F5" s="24">
        <v>4063.84</v>
      </c>
      <c r="G5" s="21" t="s">
        <v>36</v>
      </c>
      <c r="H5" s="25" t="s">
        <v>36</v>
      </c>
      <c r="I5" s="13" t="s">
        <v>36</v>
      </c>
      <c r="J5" s="13" t="s">
        <v>36</v>
      </c>
    </row>
    <row r="6" spans="1:14" x14ac:dyDescent="0.3">
      <c r="A6" s="3" t="s">
        <v>2</v>
      </c>
      <c r="B6" s="19">
        <v>2864.88</v>
      </c>
      <c r="C6" s="16">
        <v>4030.08</v>
      </c>
      <c r="D6" s="16">
        <v>2959.68</v>
      </c>
      <c r="E6" s="17">
        <v>3475.68</v>
      </c>
      <c r="F6" s="18">
        <v>3048.22</v>
      </c>
      <c r="G6" s="19" t="s">
        <v>36</v>
      </c>
      <c r="H6" s="20" t="s">
        <v>36</v>
      </c>
      <c r="I6" s="14" t="s">
        <v>36</v>
      </c>
      <c r="J6" s="14" t="s">
        <v>36</v>
      </c>
    </row>
    <row r="7" spans="1:14" x14ac:dyDescent="0.3">
      <c r="A7" s="3" t="s">
        <v>3</v>
      </c>
      <c r="B7" s="19">
        <v>2881.15</v>
      </c>
      <c r="C7" s="16">
        <v>4046.35</v>
      </c>
      <c r="D7" s="16">
        <v>2975.95</v>
      </c>
      <c r="E7" s="17">
        <v>3491.95</v>
      </c>
      <c r="F7" s="18">
        <v>3048.22</v>
      </c>
      <c r="G7" s="19" t="s">
        <v>36</v>
      </c>
      <c r="H7" s="20" t="s">
        <v>36</v>
      </c>
      <c r="I7" s="14" t="s">
        <v>36</v>
      </c>
      <c r="J7" s="14" t="s">
        <v>36</v>
      </c>
      <c r="K7" s="2"/>
      <c r="L7" s="2"/>
      <c r="M7" s="2"/>
      <c r="N7" s="2"/>
    </row>
    <row r="8" spans="1:14" x14ac:dyDescent="0.3">
      <c r="A8" s="3" t="s">
        <v>4</v>
      </c>
      <c r="B8" s="19">
        <v>3505.42</v>
      </c>
      <c r="C8" s="16">
        <v>4670.62</v>
      </c>
      <c r="D8" s="16">
        <v>3600.22</v>
      </c>
      <c r="E8" s="17">
        <v>4116.22</v>
      </c>
      <c r="F8" s="18">
        <v>2473.63</v>
      </c>
      <c r="G8" s="19" t="s">
        <v>36</v>
      </c>
      <c r="H8" s="20" t="s">
        <v>36</v>
      </c>
      <c r="I8" s="14" t="s">
        <v>36</v>
      </c>
      <c r="J8" s="14" t="s">
        <v>36</v>
      </c>
    </row>
    <row r="9" spans="1:14" x14ac:dyDescent="0.3">
      <c r="A9" s="3" t="s">
        <v>5</v>
      </c>
      <c r="B9" s="19">
        <v>2996.03</v>
      </c>
      <c r="C9" s="16">
        <v>4161.2299999999996</v>
      </c>
      <c r="D9" s="16">
        <v>3090.83</v>
      </c>
      <c r="E9" s="17">
        <v>3606.83</v>
      </c>
      <c r="F9" s="18">
        <v>2932.95</v>
      </c>
      <c r="G9" s="19" t="s">
        <v>36</v>
      </c>
      <c r="H9" s="20" t="s">
        <v>36</v>
      </c>
      <c r="I9" s="14" t="s">
        <v>36</v>
      </c>
      <c r="J9" s="14" t="s">
        <v>36</v>
      </c>
    </row>
    <row r="10" spans="1:14" x14ac:dyDescent="0.3">
      <c r="A10" s="3" t="s">
        <v>6</v>
      </c>
      <c r="B10" s="19">
        <v>3665</v>
      </c>
      <c r="C10" s="16">
        <v>4830.2</v>
      </c>
      <c r="D10" s="16">
        <v>3759.8</v>
      </c>
      <c r="E10" s="17">
        <v>4275.8</v>
      </c>
      <c r="F10" s="18">
        <v>3464.35</v>
      </c>
      <c r="G10" s="19" t="s">
        <v>36</v>
      </c>
      <c r="H10" s="20" t="s">
        <v>36</v>
      </c>
      <c r="I10" s="14" t="s">
        <v>36</v>
      </c>
      <c r="J10" s="14" t="s">
        <v>36</v>
      </c>
    </row>
    <row r="11" spans="1:14" x14ac:dyDescent="0.3">
      <c r="A11" s="3" t="s">
        <v>7</v>
      </c>
      <c r="B11" s="19">
        <v>3665</v>
      </c>
      <c r="C11" s="16">
        <v>4830.2</v>
      </c>
      <c r="D11" s="16">
        <v>3759.8</v>
      </c>
      <c r="E11" s="17">
        <v>4275.8</v>
      </c>
      <c r="F11" s="18">
        <v>2741.63</v>
      </c>
      <c r="G11" s="19" t="s">
        <v>36</v>
      </c>
      <c r="H11" s="20" t="s">
        <v>36</v>
      </c>
      <c r="I11" s="14" t="s">
        <v>36</v>
      </c>
      <c r="J11" s="14" t="s">
        <v>36</v>
      </c>
      <c r="L11" s="2"/>
    </row>
    <row r="12" spans="1:14" x14ac:dyDescent="0.3">
      <c r="A12" s="3" t="s">
        <v>8</v>
      </c>
      <c r="B12" s="19">
        <v>3718.75</v>
      </c>
      <c r="C12" s="16">
        <v>4883.95</v>
      </c>
      <c r="D12" s="16">
        <v>3813.55</v>
      </c>
      <c r="E12" s="17">
        <v>4329.55</v>
      </c>
      <c r="F12" s="18">
        <v>3503.99</v>
      </c>
      <c r="G12" s="19" t="s">
        <v>36</v>
      </c>
      <c r="H12" s="20" t="s">
        <v>36</v>
      </c>
      <c r="I12" s="14" t="s">
        <v>36</v>
      </c>
      <c r="J12" s="14" t="s">
        <v>36</v>
      </c>
    </row>
    <row r="13" spans="1:14" x14ac:dyDescent="0.3">
      <c r="A13" s="3" t="s">
        <v>9</v>
      </c>
      <c r="B13" s="19">
        <v>2817.95</v>
      </c>
      <c r="C13" s="16">
        <v>3983.15</v>
      </c>
      <c r="D13" s="16">
        <v>2912.75</v>
      </c>
      <c r="E13" s="17">
        <v>3428.75</v>
      </c>
      <c r="F13" s="18">
        <v>3087.92</v>
      </c>
      <c r="G13" s="19" t="s">
        <v>36</v>
      </c>
      <c r="H13" s="20" t="s">
        <v>36</v>
      </c>
      <c r="I13" s="14" t="s">
        <v>36</v>
      </c>
      <c r="J13" s="14" t="s">
        <v>36</v>
      </c>
    </row>
    <row r="14" spans="1:14" x14ac:dyDescent="0.3">
      <c r="A14" s="3" t="s">
        <v>10</v>
      </c>
      <c r="B14" s="19">
        <v>3045.77</v>
      </c>
      <c r="C14" s="16">
        <v>4210.97</v>
      </c>
      <c r="D14" s="16">
        <v>3140.57</v>
      </c>
      <c r="E14" s="17">
        <v>3656.57</v>
      </c>
      <c r="F14" s="18">
        <v>2889.22</v>
      </c>
      <c r="G14" s="19" t="s">
        <v>36</v>
      </c>
      <c r="H14" s="20" t="s">
        <v>36</v>
      </c>
      <c r="I14" s="14" t="s">
        <v>36</v>
      </c>
      <c r="J14" s="14" t="s">
        <v>36</v>
      </c>
    </row>
    <row r="15" spans="1:14" x14ac:dyDescent="0.3">
      <c r="A15" s="3" t="s">
        <v>11</v>
      </c>
      <c r="B15" s="19">
        <v>3933.07</v>
      </c>
      <c r="C15" s="16">
        <v>5098.2700000000004</v>
      </c>
      <c r="D15" s="16">
        <v>4027.87</v>
      </c>
      <c r="E15" s="17">
        <v>4543.87</v>
      </c>
      <c r="F15" s="18">
        <v>3753.18</v>
      </c>
      <c r="G15" s="19" t="s">
        <v>36</v>
      </c>
      <c r="H15" s="20" t="s">
        <v>36</v>
      </c>
      <c r="I15" s="14" t="s">
        <v>36</v>
      </c>
      <c r="J15" s="14" t="s">
        <v>36</v>
      </c>
    </row>
    <row r="16" spans="1:14" x14ac:dyDescent="0.3">
      <c r="A16" s="3" t="s">
        <v>12</v>
      </c>
      <c r="B16" s="19">
        <v>2963.63</v>
      </c>
      <c r="C16" s="16">
        <v>4128.83</v>
      </c>
      <c r="D16" s="16">
        <v>3058.43</v>
      </c>
      <c r="E16" s="17">
        <v>3574.43</v>
      </c>
      <c r="F16" s="18">
        <v>2959.7</v>
      </c>
      <c r="G16" s="19" t="s">
        <v>36</v>
      </c>
      <c r="H16" s="20" t="s">
        <v>36</v>
      </c>
      <c r="I16" s="14" t="s">
        <v>36</v>
      </c>
      <c r="J16" s="14" t="s">
        <v>36</v>
      </c>
    </row>
    <row r="17" spans="1:14" x14ac:dyDescent="0.3">
      <c r="A17" s="36" t="s">
        <v>13</v>
      </c>
      <c r="B17" s="19">
        <v>3187.35</v>
      </c>
      <c r="C17" s="16">
        <v>4352.55</v>
      </c>
      <c r="D17" s="16">
        <v>3282.15</v>
      </c>
      <c r="E17" s="17">
        <v>3798.15</v>
      </c>
      <c r="F17" s="18">
        <v>2741.63</v>
      </c>
      <c r="G17" s="19" t="s">
        <v>36</v>
      </c>
      <c r="H17" s="20" t="s">
        <v>36</v>
      </c>
      <c r="I17" s="14" t="s">
        <v>36</v>
      </c>
      <c r="J17" s="14" t="s">
        <v>36</v>
      </c>
    </row>
    <row r="18" spans="1:14" x14ac:dyDescent="0.3">
      <c r="A18" s="36" t="s">
        <v>14</v>
      </c>
      <c r="B18" s="19">
        <v>4068.57</v>
      </c>
      <c r="C18" s="16">
        <v>5233.7700000000004</v>
      </c>
      <c r="D18" s="16">
        <v>4163.37</v>
      </c>
      <c r="E18" s="17">
        <v>4679.37</v>
      </c>
      <c r="F18" s="18">
        <v>3884.26</v>
      </c>
      <c r="G18" s="19" t="s">
        <v>36</v>
      </c>
      <c r="H18" s="20" t="s">
        <v>36</v>
      </c>
      <c r="I18" s="14" t="s">
        <v>36</v>
      </c>
      <c r="J18" s="14" t="s">
        <v>36</v>
      </c>
    </row>
    <row r="19" spans="1:14" x14ac:dyDescent="0.3">
      <c r="A19" s="36" t="s">
        <v>15</v>
      </c>
      <c r="B19" s="19">
        <v>3410.49</v>
      </c>
      <c r="C19" s="16">
        <v>4575.6899999999996</v>
      </c>
      <c r="D19" s="16">
        <v>3505.29</v>
      </c>
      <c r="E19" s="17">
        <v>4021.29</v>
      </c>
      <c r="F19" s="18">
        <v>3251.02</v>
      </c>
      <c r="G19" s="19" t="s">
        <v>36</v>
      </c>
      <c r="H19" s="20" t="s">
        <v>36</v>
      </c>
      <c r="I19" s="18" t="s">
        <v>36</v>
      </c>
      <c r="J19" s="18" t="s">
        <v>36</v>
      </c>
      <c r="K19" s="2"/>
      <c r="M19" s="2"/>
    </row>
    <row r="20" spans="1:14" x14ac:dyDescent="0.3">
      <c r="A20" s="36" t="s">
        <v>16</v>
      </c>
      <c r="B20" s="19">
        <v>2955.47</v>
      </c>
      <c r="C20" s="16">
        <v>4210.67</v>
      </c>
      <c r="D20" s="16">
        <v>3050.27</v>
      </c>
      <c r="E20" s="17">
        <v>3566.27</v>
      </c>
      <c r="F20" s="18">
        <v>2975.15</v>
      </c>
      <c r="G20" s="19" t="s">
        <v>36</v>
      </c>
      <c r="H20" s="20" t="s">
        <v>36</v>
      </c>
      <c r="I20" s="14" t="s">
        <v>36</v>
      </c>
      <c r="J20" s="14" t="s">
        <v>36</v>
      </c>
      <c r="K20" s="2"/>
    </row>
    <row r="21" spans="1:14" x14ac:dyDescent="0.3">
      <c r="A21" s="3" t="s">
        <v>17</v>
      </c>
      <c r="B21" s="19">
        <v>3302.62</v>
      </c>
      <c r="C21" s="16">
        <v>4467.82</v>
      </c>
      <c r="D21" s="16">
        <v>3397.42</v>
      </c>
      <c r="E21" s="17">
        <v>3913.42</v>
      </c>
      <c r="F21" s="18">
        <v>2584.37</v>
      </c>
      <c r="G21" s="19" t="s">
        <v>36</v>
      </c>
      <c r="H21" s="20" t="s">
        <v>36</v>
      </c>
      <c r="I21" s="14" t="s">
        <v>36</v>
      </c>
      <c r="J21" s="14" t="s">
        <v>36</v>
      </c>
    </row>
    <row r="22" spans="1:14" x14ac:dyDescent="0.3">
      <c r="A22" s="3" t="s">
        <v>18</v>
      </c>
      <c r="B22" s="19">
        <v>3889.64</v>
      </c>
      <c r="C22" s="16">
        <v>5054.84</v>
      </c>
      <c r="D22" s="16">
        <v>3984.44</v>
      </c>
      <c r="E22" s="17">
        <v>4500.4399999999996</v>
      </c>
      <c r="F22" s="18">
        <v>2975.15</v>
      </c>
      <c r="G22" s="19" t="s">
        <v>36</v>
      </c>
      <c r="H22" s="20" t="s">
        <v>36</v>
      </c>
      <c r="I22" s="14" t="s">
        <v>36</v>
      </c>
      <c r="J22" s="14" t="s">
        <v>36</v>
      </c>
    </row>
    <row r="23" spans="1:14" x14ac:dyDescent="0.3">
      <c r="A23" s="3" t="s">
        <v>28</v>
      </c>
      <c r="B23" s="19">
        <v>3410.49</v>
      </c>
      <c r="C23" s="16">
        <v>4575.6899999999996</v>
      </c>
      <c r="D23" s="16">
        <v>3505.29</v>
      </c>
      <c r="E23" s="17">
        <v>4021.29</v>
      </c>
      <c r="F23" s="18">
        <v>3208.04</v>
      </c>
      <c r="G23" s="19" t="s">
        <v>36</v>
      </c>
      <c r="H23" s="20" t="s">
        <v>36</v>
      </c>
      <c r="I23" s="14" t="s">
        <v>36</v>
      </c>
      <c r="J23" s="14" t="s">
        <v>36</v>
      </c>
    </row>
    <row r="24" spans="1:14" x14ac:dyDescent="0.3">
      <c r="A24" s="3" t="s">
        <v>19</v>
      </c>
      <c r="B24" s="19">
        <v>3868.74</v>
      </c>
      <c r="C24" s="16">
        <v>5033.9399999999996</v>
      </c>
      <c r="D24" s="16">
        <v>3963.54</v>
      </c>
      <c r="E24" s="17">
        <v>4479.54</v>
      </c>
      <c r="F24" s="18">
        <v>3678.67</v>
      </c>
      <c r="G24" s="19" t="s">
        <v>36</v>
      </c>
      <c r="H24" s="20" t="s">
        <v>36</v>
      </c>
      <c r="I24" s="14" t="s">
        <v>36</v>
      </c>
      <c r="J24" s="14" t="s">
        <v>36</v>
      </c>
    </row>
    <row r="25" spans="1:14" x14ac:dyDescent="0.3">
      <c r="A25" s="3" t="s">
        <v>20</v>
      </c>
      <c r="B25" s="19">
        <v>3255.85</v>
      </c>
      <c r="C25" s="16">
        <v>4421.05</v>
      </c>
      <c r="D25" s="16">
        <v>3350.65</v>
      </c>
      <c r="E25" s="17">
        <v>3866.65</v>
      </c>
      <c r="F25" s="18">
        <v>3103.37</v>
      </c>
      <c r="G25" s="19" t="s">
        <v>36</v>
      </c>
      <c r="H25" s="20" t="s">
        <v>36</v>
      </c>
      <c r="I25" s="14" t="s">
        <v>36</v>
      </c>
      <c r="J25" s="14" t="s">
        <v>36</v>
      </c>
    </row>
    <row r="26" spans="1:14" x14ac:dyDescent="0.3">
      <c r="A26" s="3" t="s">
        <v>21</v>
      </c>
      <c r="B26" s="19">
        <v>3557.11</v>
      </c>
      <c r="C26" s="16">
        <v>4722.3100000000004</v>
      </c>
      <c r="D26" s="16">
        <v>3651.91</v>
      </c>
      <c r="E26" s="17">
        <v>4167.91</v>
      </c>
      <c r="F26" s="18">
        <v>3370.71</v>
      </c>
      <c r="G26" s="19" t="s">
        <v>36</v>
      </c>
      <c r="H26" s="20" t="s">
        <v>36</v>
      </c>
      <c r="I26" s="14" t="s">
        <v>36</v>
      </c>
      <c r="J26" s="14" t="s">
        <v>36</v>
      </c>
    </row>
    <row r="27" spans="1:14" x14ac:dyDescent="0.3">
      <c r="A27" s="3" t="s">
        <v>22</v>
      </c>
      <c r="B27" s="19">
        <v>3816.88</v>
      </c>
      <c r="C27" s="16">
        <v>4981.88</v>
      </c>
      <c r="D27" s="16">
        <v>3911.48</v>
      </c>
      <c r="E27" s="17">
        <v>4427.4799999999996</v>
      </c>
      <c r="F27" s="18">
        <v>3614.34</v>
      </c>
      <c r="G27" s="19" t="s">
        <v>36</v>
      </c>
      <c r="H27" s="20" t="s">
        <v>36</v>
      </c>
      <c r="I27" s="14" t="s">
        <v>36</v>
      </c>
      <c r="J27" s="14" t="s">
        <v>36</v>
      </c>
    </row>
    <row r="28" spans="1:14" x14ac:dyDescent="0.3">
      <c r="A28" s="3" t="s">
        <v>23</v>
      </c>
      <c r="B28" s="19">
        <v>3570.72</v>
      </c>
      <c r="C28" s="16">
        <v>4735.92</v>
      </c>
      <c r="D28" s="16">
        <v>3665.52</v>
      </c>
      <c r="E28" s="17">
        <v>4181.5200000000004</v>
      </c>
      <c r="F28" s="18">
        <v>3410.6</v>
      </c>
      <c r="G28" s="19">
        <v>4659.24</v>
      </c>
      <c r="H28" s="20">
        <v>4659.24</v>
      </c>
      <c r="I28" s="14" t="s">
        <v>36</v>
      </c>
      <c r="J28" s="14" t="s">
        <v>36</v>
      </c>
    </row>
    <row r="29" spans="1:14" x14ac:dyDescent="0.3">
      <c r="A29" s="3" t="s">
        <v>24</v>
      </c>
      <c r="B29" s="19">
        <v>2842.4</v>
      </c>
      <c r="C29" s="16">
        <v>4007.6</v>
      </c>
      <c r="D29" s="16">
        <v>2937.2</v>
      </c>
      <c r="E29" s="17">
        <v>3453.2</v>
      </c>
      <c r="F29" s="18">
        <v>3048.22</v>
      </c>
      <c r="G29" s="19" t="s">
        <v>36</v>
      </c>
      <c r="H29" s="20" t="s">
        <v>36</v>
      </c>
      <c r="I29" s="14" t="s">
        <v>36</v>
      </c>
      <c r="J29" s="14" t="s">
        <v>36</v>
      </c>
    </row>
    <row r="30" spans="1:14" x14ac:dyDescent="0.3">
      <c r="A30" s="3" t="s">
        <v>25</v>
      </c>
      <c r="B30" s="19">
        <v>3302.62</v>
      </c>
      <c r="C30" s="16">
        <v>4467.82</v>
      </c>
      <c r="D30" s="16">
        <v>3397.42</v>
      </c>
      <c r="E30" s="17">
        <v>3913.42</v>
      </c>
      <c r="F30" s="18">
        <v>3156.09</v>
      </c>
      <c r="G30" s="19" t="s">
        <v>36</v>
      </c>
      <c r="H30" s="20" t="s">
        <v>36</v>
      </c>
      <c r="I30" s="14" t="s">
        <v>36</v>
      </c>
      <c r="J30" s="14" t="s">
        <v>36</v>
      </c>
      <c r="K30" s="2"/>
      <c r="L30" s="2"/>
      <c r="M30" s="2"/>
      <c r="N30" s="2"/>
    </row>
    <row r="31" spans="1:14" x14ac:dyDescent="0.3">
      <c r="A31" s="3" t="s">
        <v>26</v>
      </c>
      <c r="B31" s="19">
        <v>3357.77</v>
      </c>
      <c r="C31" s="16">
        <v>4522.97</v>
      </c>
      <c r="D31" s="16">
        <v>3452.57</v>
      </c>
      <c r="E31" s="17">
        <v>3968.57</v>
      </c>
      <c r="F31" s="18">
        <v>2542.7399999999998</v>
      </c>
      <c r="G31" s="19" t="s">
        <v>36</v>
      </c>
      <c r="H31" s="20" t="s">
        <v>36</v>
      </c>
      <c r="I31" s="14" t="s">
        <v>36</v>
      </c>
      <c r="J31" s="14" t="s">
        <v>36</v>
      </c>
      <c r="K31" s="2"/>
    </row>
    <row r="32" spans="1:14" x14ac:dyDescent="0.3">
      <c r="A32" s="12" t="s">
        <v>35</v>
      </c>
      <c r="B32" s="26" t="s">
        <v>36</v>
      </c>
      <c r="C32" s="27" t="s">
        <v>36</v>
      </c>
      <c r="D32" s="27" t="s">
        <v>36</v>
      </c>
      <c r="E32" s="28" t="s">
        <v>36</v>
      </c>
      <c r="F32" s="29" t="s">
        <v>36</v>
      </c>
      <c r="G32" s="26">
        <v>5536.13</v>
      </c>
      <c r="H32" s="28" t="s">
        <v>36</v>
      </c>
      <c r="I32" s="14" t="s">
        <v>36</v>
      </c>
      <c r="J32" s="14" t="s">
        <v>36</v>
      </c>
      <c r="L32" s="2"/>
    </row>
    <row r="33" spans="1:12" x14ac:dyDescent="0.3">
      <c r="A33" s="12" t="s">
        <v>37</v>
      </c>
      <c r="B33" s="26" t="s">
        <v>36</v>
      </c>
      <c r="C33" s="27" t="s">
        <v>36</v>
      </c>
      <c r="D33" s="27" t="s">
        <v>36</v>
      </c>
      <c r="E33" s="28" t="s">
        <v>36</v>
      </c>
      <c r="F33" s="29" t="s">
        <v>36</v>
      </c>
      <c r="G33" s="26">
        <v>5364</v>
      </c>
      <c r="H33" s="28" t="s">
        <v>36</v>
      </c>
      <c r="I33" s="14" t="s">
        <v>36</v>
      </c>
      <c r="J33" s="14" t="s">
        <v>36</v>
      </c>
    </row>
    <row r="34" spans="1:12" x14ac:dyDescent="0.3">
      <c r="A34" s="12" t="s">
        <v>38</v>
      </c>
      <c r="B34" s="26" t="s">
        <v>36</v>
      </c>
      <c r="C34" s="27" t="s">
        <v>36</v>
      </c>
      <c r="D34" s="27" t="s">
        <v>36</v>
      </c>
      <c r="E34" s="28" t="s">
        <v>36</v>
      </c>
      <c r="F34" s="29" t="s">
        <v>36</v>
      </c>
      <c r="G34" s="26">
        <v>5614.55</v>
      </c>
      <c r="H34" s="28" t="s">
        <v>36</v>
      </c>
      <c r="I34" s="14" t="s">
        <v>36</v>
      </c>
      <c r="J34" s="14" t="s">
        <v>36</v>
      </c>
      <c r="L34" s="2"/>
    </row>
    <row r="35" spans="1:12" ht="19.5" thickBot="1" x14ac:dyDescent="0.35">
      <c r="A35" s="4" t="s">
        <v>29</v>
      </c>
      <c r="B35" s="30">
        <v>2054.4</v>
      </c>
      <c r="C35" s="31">
        <v>3219.6</v>
      </c>
      <c r="D35" s="31">
        <v>2149.1999999999998</v>
      </c>
      <c r="E35" s="32">
        <v>2665.2</v>
      </c>
      <c r="F35" s="33">
        <v>1802.4</v>
      </c>
      <c r="G35" s="34" t="s">
        <v>36</v>
      </c>
      <c r="H35" s="35" t="s">
        <v>36</v>
      </c>
      <c r="I35" s="15" t="s">
        <v>36</v>
      </c>
      <c r="J35" s="15" t="s">
        <v>36</v>
      </c>
    </row>
  </sheetData>
  <mergeCells count="4">
    <mergeCell ref="B3:E3"/>
    <mergeCell ref="A3:A4"/>
    <mergeCell ref="G3:H3"/>
    <mergeCell ref="A1:H1"/>
  </mergeCells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5C14-A139-4B17-9ACD-C5EC59F1E0A5}">
  <sheetPr>
    <pageSetUpPr fitToPage="1"/>
  </sheetPr>
  <dimension ref="A1:AC52"/>
  <sheetViews>
    <sheetView zoomScaleNormal="100" workbookViewId="0">
      <selection activeCell="C8" sqref="C8"/>
    </sheetView>
  </sheetViews>
  <sheetFormatPr defaultRowHeight="12.75" x14ac:dyDescent="0.2"/>
  <cols>
    <col min="1" max="1" width="11.28515625" style="37" bestFit="1" customWidth="1"/>
    <col min="2" max="2" width="12.140625" style="37" bestFit="1" customWidth="1"/>
    <col min="3" max="3" width="14.42578125" style="38" bestFit="1" customWidth="1"/>
    <col min="4" max="4" width="10.42578125" style="38" bestFit="1" customWidth="1"/>
    <col min="5" max="5" width="10" style="38" bestFit="1" customWidth="1"/>
    <col min="6" max="8" width="7.42578125" style="38" customWidth="1"/>
    <col min="9" max="9" width="10" style="38" bestFit="1" customWidth="1"/>
    <col min="10" max="10" width="10.42578125" style="38" bestFit="1" customWidth="1"/>
    <col min="11" max="11" width="10" style="38" bestFit="1" customWidth="1"/>
    <col min="12" max="12" width="7.42578125" style="37" customWidth="1"/>
    <col min="13" max="13" width="9.42578125" style="37" customWidth="1"/>
    <col min="14" max="27" width="7.42578125" style="37" customWidth="1"/>
    <col min="28" max="28" width="9.140625" style="37"/>
    <col min="29" max="29" width="12.5703125" style="37" bestFit="1" customWidth="1"/>
    <col min="30" max="16384" width="9.140625" style="37"/>
  </cols>
  <sheetData>
    <row r="1" spans="1:27" x14ac:dyDescent="0.2">
      <c r="A1" s="86" t="s">
        <v>53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 spans="1:27" ht="13.5" thickBot="1" x14ac:dyDescent="0.25"/>
    <row r="3" spans="1:27" ht="15.75" customHeight="1" thickBot="1" x14ac:dyDescent="0.25">
      <c r="A3" s="90" t="s">
        <v>0</v>
      </c>
      <c r="B3" s="95" t="s">
        <v>27</v>
      </c>
      <c r="C3" s="96"/>
      <c r="D3" s="96"/>
      <c r="E3" s="96"/>
      <c r="F3" s="96"/>
      <c r="G3" s="96"/>
      <c r="H3" s="96"/>
      <c r="I3" s="97"/>
      <c r="J3" s="95" t="s">
        <v>31</v>
      </c>
      <c r="K3" s="97"/>
      <c r="L3" s="87" t="s">
        <v>51</v>
      </c>
      <c r="M3" s="89"/>
      <c r="N3" s="89"/>
      <c r="O3" s="88"/>
      <c r="P3" s="87" t="s">
        <v>54</v>
      </c>
      <c r="Q3" s="89"/>
      <c r="R3" s="89"/>
      <c r="S3" s="88"/>
      <c r="T3" s="87" t="s">
        <v>59</v>
      </c>
      <c r="U3" s="88"/>
      <c r="V3" s="87" t="s">
        <v>61</v>
      </c>
      <c r="W3" s="88"/>
      <c r="X3" s="87" t="s">
        <v>55</v>
      </c>
      <c r="Y3" s="88"/>
      <c r="Z3" s="87" t="s">
        <v>57</v>
      </c>
      <c r="AA3" s="88"/>
    </row>
    <row r="4" spans="1:27" ht="13.5" thickBot="1" x14ac:dyDescent="0.25">
      <c r="A4" s="91"/>
      <c r="B4" s="87" t="s">
        <v>30</v>
      </c>
      <c r="C4" s="88"/>
      <c r="D4" s="87" t="s">
        <v>32</v>
      </c>
      <c r="E4" s="88"/>
      <c r="F4" s="87" t="s">
        <v>33</v>
      </c>
      <c r="G4" s="88"/>
      <c r="H4" s="87" t="s">
        <v>34</v>
      </c>
      <c r="I4" s="88"/>
      <c r="J4" s="87" t="s">
        <v>30</v>
      </c>
      <c r="K4" s="88"/>
      <c r="L4" s="87" t="s">
        <v>30</v>
      </c>
      <c r="M4" s="88"/>
      <c r="N4" s="87" t="s">
        <v>52</v>
      </c>
      <c r="O4" s="88"/>
      <c r="P4" s="87" t="s">
        <v>43</v>
      </c>
      <c r="Q4" s="88"/>
      <c r="R4" s="87" t="s">
        <v>63</v>
      </c>
      <c r="S4" s="88"/>
      <c r="T4" s="87" t="s">
        <v>60</v>
      </c>
      <c r="U4" s="88"/>
      <c r="V4" s="87" t="s">
        <v>43</v>
      </c>
      <c r="W4" s="88"/>
      <c r="X4" s="87" t="s">
        <v>56</v>
      </c>
      <c r="Y4" s="88"/>
      <c r="Z4" s="87" t="s">
        <v>65</v>
      </c>
      <c r="AA4" s="88"/>
    </row>
    <row r="5" spans="1:27" ht="13.5" thickBot="1" x14ac:dyDescent="0.25">
      <c r="A5" s="91"/>
      <c r="B5" s="93" t="s">
        <v>45</v>
      </c>
      <c r="C5" s="94"/>
      <c r="D5" s="87" t="s">
        <v>46</v>
      </c>
      <c r="E5" s="88"/>
      <c r="F5" s="87" t="s">
        <v>47</v>
      </c>
      <c r="G5" s="88"/>
      <c r="H5" s="87" t="s">
        <v>48</v>
      </c>
      <c r="I5" s="88"/>
      <c r="J5" s="87" t="s">
        <v>45</v>
      </c>
      <c r="K5" s="88"/>
      <c r="L5" s="87" t="s">
        <v>45</v>
      </c>
      <c r="M5" s="88"/>
      <c r="N5" s="87" t="s">
        <v>48</v>
      </c>
      <c r="O5" s="88"/>
      <c r="P5" s="87" t="s">
        <v>45</v>
      </c>
      <c r="Q5" s="88"/>
      <c r="R5" s="87" t="s">
        <v>62</v>
      </c>
      <c r="S5" s="88"/>
      <c r="T5" s="87" t="s">
        <v>45</v>
      </c>
      <c r="U5" s="88"/>
      <c r="V5" s="87" t="s">
        <v>45</v>
      </c>
      <c r="W5" s="88"/>
      <c r="X5" s="87" t="s">
        <v>64</v>
      </c>
      <c r="Y5" s="88"/>
      <c r="Z5" s="87" t="s">
        <v>58</v>
      </c>
      <c r="AA5" s="88"/>
    </row>
    <row r="6" spans="1:27" ht="13.5" thickBot="1" x14ac:dyDescent="0.25">
      <c r="A6" s="92"/>
      <c r="B6" s="39" t="s">
        <v>49</v>
      </c>
      <c r="C6" s="40" t="s">
        <v>50</v>
      </c>
      <c r="D6" s="39" t="s">
        <v>49</v>
      </c>
      <c r="E6" s="40" t="s">
        <v>50</v>
      </c>
      <c r="F6" s="39" t="s">
        <v>49</v>
      </c>
      <c r="G6" s="41" t="s">
        <v>50</v>
      </c>
      <c r="H6" s="39" t="s">
        <v>49</v>
      </c>
      <c r="I6" s="40" t="s">
        <v>50</v>
      </c>
      <c r="J6" s="39" t="s">
        <v>49</v>
      </c>
      <c r="K6" s="40" t="s">
        <v>50</v>
      </c>
      <c r="L6" s="39" t="s">
        <v>49</v>
      </c>
      <c r="M6" s="40" t="s">
        <v>50</v>
      </c>
      <c r="N6" s="39" t="s">
        <v>49</v>
      </c>
      <c r="O6" s="40" t="s">
        <v>50</v>
      </c>
      <c r="P6" s="39" t="s">
        <v>49</v>
      </c>
      <c r="Q6" s="40" t="s">
        <v>50</v>
      </c>
      <c r="R6" s="39" t="s">
        <v>49</v>
      </c>
      <c r="S6" s="40" t="s">
        <v>50</v>
      </c>
      <c r="T6" s="39" t="s">
        <v>49</v>
      </c>
      <c r="U6" s="40" t="s">
        <v>50</v>
      </c>
      <c r="V6" s="39" t="s">
        <v>49</v>
      </c>
      <c r="W6" s="40" t="s">
        <v>50</v>
      </c>
      <c r="X6" s="39" t="s">
        <v>49</v>
      </c>
      <c r="Y6" s="40" t="s">
        <v>50</v>
      </c>
      <c r="Z6" s="39" t="s">
        <v>49</v>
      </c>
      <c r="AA6" s="40" t="s">
        <v>50</v>
      </c>
    </row>
    <row r="7" spans="1:27" s="56" customFormat="1" ht="23.25" customHeight="1" x14ac:dyDescent="0.25">
      <c r="A7" s="50" t="s">
        <v>1</v>
      </c>
      <c r="B7" s="51">
        <f t="shared" ref="B7:B34" si="0">ROUND(C7/1.2,2)</f>
        <v>3848.6</v>
      </c>
      <c r="C7" s="52">
        <v>4618.32</v>
      </c>
      <c r="D7" s="51">
        <f t="shared" ref="D7:D34" si="1">ROUND(E7/1.2,2)</f>
        <v>4970.6000000000004</v>
      </c>
      <c r="E7" s="53">
        <v>5964.72</v>
      </c>
      <c r="F7" s="51">
        <f>ROUND(G7/1.2,2)</f>
        <v>3971.6</v>
      </c>
      <c r="G7" s="53">
        <v>4765.92</v>
      </c>
      <c r="H7" s="51">
        <f>ROUND(I7/1.2,2)</f>
        <v>4453.6000000000004</v>
      </c>
      <c r="I7" s="53">
        <v>5344.32</v>
      </c>
      <c r="J7" s="54">
        <f>ROUND(K7/1.2,2)</f>
        <v>3730.03</v>
      </c>
      <c r="K7" s="52">
        <v>4476.03</v>
      </c>
      <c r="L7" s="54"/>
      <c r="M7" s="52"/>
      <c r="N7" s="54"/>
      <c r="O7" s="52"/>
      <c r="P7" s="54"/>
      <c r="Q7" s="55"/>
      <c r="R7" s="54"/>
      <c r="S7" s="55"/>
      <c r="T7" s="54"/>
      <c r="U7" s="55"/>
      <c r="V7" s="54"/>
      <c r="W7" s="55"/>
      <c r="X7" s="54"/>
      <c r="Y7" s="55"/>
      <c r="Z7" s="51"/>
      <c r="AA7" s="55"/>
    </row>
    <row r="8" spans="1:27" s="56" customFormat="1" ht="23.25" customHeight="1" x14ac:dyDescent="0.25">
      <c r="A8" s="57" t="s">
        <v>2</v>
      </c>
      <c r="B8" s="58">
        <f t="shared" si="0"/>
        <v>2620.9899999999998</v>
      </c>
      <c r="C8" s="55">
        <v>3145.19</v>
      </c>
      <c r="D8" s="58">
        <f t="shared" si="1"/>
        <v>3742.99</v>
      </c>
      <c r="E8" s="59">
        <v>4491.59</v>
      </c>
      <c r="F8" s="58">
        <f t="shared" ref="F8" si="2">ROUND(G8/1.2,2)</f>
        <v>2743.99</v>
      </c>
      <c r="G8" s="59">
        <v>3292.79</v>
      </c>
      <c r="H8" s="58">
        <f t="shared" ref="H8" si="3">ROUND(I8/1.2,2)</f>
        <v>3225.99</v>
      </c>
      <c r="I8" s="59">
        <v>3871.19</v>
      </c>
      <c r="J8" s="60">
        <f t="shared" ref="J8" si="4">ROUND(K8/1.2,2)</f>
        <v>2800.82</v>
      </c>
      <c r="K8" s="55">
        <v>3360.98</v>
      </c>
      <c r="L8" s="60">
        <v>4856.04</v>
      </c>
      <c r="M8" s="55">
        <f>ROUND(L8*1.2,2)</f>
        <v>5827.25</v>
      </c>
      <c r="N8" s="60">
        <v>5260.27</v>
      </c>
      <c r="O8" s="55">
        <f>ROUND(N8*1.2,2)</f>
        <v>6312.32</v>
      </c>
      <c r="P8" s="60"/>
      <c r="Q8" s="55"/>
      <c r="R8" s="60"/>
      <c r="S8" s="55"/>
      <c r="T8" s="60"/>
      <c r="U8" s="55"/>
      <c r="V8" s="60"/>
      <c r="W8" s="55"/>
      <c r="X8" s="60">
        <v>6257.3</v>
      </c>
      <c r="Y8" s="55">
        <f>X8*1.2</f>
        <v>7508.76</v>
      </c>
      <c r="Z8" s="58"/>
      <c r="AA8" s="55"/>
    </row>
    <row r="9" spans="1:27" s="56" customFormat="1" ht="23.25" customHeight="1" x14ac:dyDescent="0.25">
      <c r="A9" s="57" t="s">
        <v>3</v>
      </c>
      <c r="B9" s="58">
        <f t="shared" si="0"/>
        <v>2635.4</v>
      </c>
      <c r="C9" s="55">
        <v>3162.48</v>
      </c>
      <c r="D9" s="58">
        <f t="shared" si="1"/>
        <v>3757.4</v>
      </c>
      <c r="E9" s="59">
        <v>4508.88</v>
      </c>
      <c r="F9" s="58">
        <f t="shared" ref="F9" si="5">ROUND(G9/1.2,2)</f>
        <v>2758.4</v>
      </c>
      <c r="G9" s="59">
        <v>3310.08</v>
      </c>
      <c r="H9" s="58">
        <f t="shared" ref="H9" si="6">ROUND(I9/1.2,2)</f>
        <v>3240.4</v>
      </c>
      <c r="I9" s="59">
        <v>3888.48</v>
      </c>
      <c r="J9" s="60">
        <f t="shared" ref="J9" si="7">ROUND(K9/1.2,2)</f>
        <v>2800.82</v>
      </c>
      <c r="K9" s="55">
        <v>3360.98</v>
      </c>
      <c r="L9" s="60">
        <v>4823.96</v>
      </c>
      <c r="M9" s="55">
        <f t="shared" ref="M9:O14" si="8">ROUND(L9*1.2,2)</f>
        <v>5788.75</v>
      </c>
      <c r="N9" s="60">
        <v>5228.1900000000005</v>
      </c>
      <c r="O9" s="55">
        <f t="shared" si="8"/>
        <v>6273.83</v>
      </c>
      <c r="P9" s="60"/>
      <c r="Q9" s="55"/>
      <c r="R9" s="60"/>
      <c r="S9" s="55"/>
      <c r="T9" s="60"/>
      <c r="U9" s="55"/>
      <c r="V9" s="60"/>
      <c r="W9" s="55"/>
      <c r="X9" s="60"/>
      <c r="Y9" s="55"/>
      <c r="Z9" s="58"/>
      <c r="AA9" s="55"/>
    </row>
    <row r="10" spans="1:27" s="56" customFormat="1" ht="23.25" customHeight="1" x14ac:dyDescent="0.25">
      <c r="A10" s="57" t="s">
        <v>4</v>
      </c>
      <c r="B10" s="58">
        <f t="shared" si="0"/>
        <v>3188.37</v>
      </c>
      <c r="C10" s="55">
        <v>3826.04</v>
      </c>
      <c r="D10" s="58">
        <f t="shared" si="1"/>
        <v>4310.37</v>
      </c>
      <c r="E10" s="59">
        <v>5172.4399999999996</v>
      </c>
      <c r="F10" s="58">
        <f t="shared" ref="F10" si="9">ROUND(G10/1.2,2)</f>
        <v>3311.37</v>
      </c>
      <c r="G10" s="59">
        <v>3973.64</v>
      </c>
      <c r="H10" s="58">
        <f t="shared" ref="H10" si="10">ROUND(I10/1.2,2)</f>
        <v>3793.37</v>
      </c>
      <c r="I10" s="59">
        <v>4552.04</v>
      </c>
      <c r="J10" s="60">
        <f t="shared" ref="J10" si="11">ROUND(K10/1.2,2)</f>
        <v>2275.11</v>
      </c>
      <c r="K10" s="55">
        <v>2730.13</v>
      </c>
      <c r="L10" s="60">
        <v>4292.49</v>
      </c>
      <c r="M10" s="55">
        <f t="shared" si="8"/>
        <v>5150.99</v>
      </c>
      <c r="N10" s="60">
        <v>4696.72</v>
      </c>
      <c r="O10" s="55">
        <f t="shared" si="8"/>
        <v>5636.06</v>
      </c>
      <c r="P10" s="60"/>
      <c r="Q10" s="55"/>
      <c r="R10" s="60">
        <f>(2076+3740)/1.2</f>
        <v>4846.666666666667</v>
      </c>
      <c r="S10" s="55">
        <f>R10*1.2</f>
        <v>5816</v>
      </c>
      <c r="T10" s="60"/>
      <c r="U10" s="55"/>
      <c r="V10" s="60"/>
      <c r="W10" s="55"/>
      <c r="X10" s="60"/>
      <c r="Y10" s="55"/>
      <c r="Z10" s="58"/>
      <c r="AA10" s="55"/>
    </row>
    <row r="11" spans="1:27" s="56" customFormat="1" ht="23.25" customHeight="1" x14ac:dyDescent="0.25">
      <c r="A11" s="57" t="s">
        <v>5</v>
      </c>
      <c r="B11" s="58">
        <f t="shared" si="0"/>
        <v>2737.16</v>
      </c>
      <c r="C11" s="55">
        <v>3284.59</v>
      </c>
      <c r="D11" s="58">
        <f t="shared" si="1"/>
        <v>3859.16</v>
      </c>
      <c r="E11" s="59">
        <v>4630.99</v>
      </c>
      <c r="F11" s="58">
        <f t="shared" ref="F11" si="12">ROUND(G11/1.2,2)</f>
        <v>2860.16</v>
      </c>
      <c r="G11" s="59">
        <v>3432.19</v>
      </c>
      <c r="H11" s="58">
        <f t="shared" ref="H11" si="13">ROUND(I11/1.2,2)</f>
        <v>3342.16</v>
      </c>
      <c r="I11" s="59">
        <v>4010.59</v>
      </c>
      <c r="J11" s="60">
        <f t="shared" ref="J11" si="14">ROUND(K11/1.2,2)</f>
        <v>2695.35</v>
      </c>
      <c r="K11" s="55">
        <v>3234.42</v>
      </c>
      <c r="L11" s="60"/>
      <c r="M11" s="55"/>
      <c r="N11" s="60"/>
      <c r="O11" s="55"/>
      <c r="P11" s="60"/>
      <c r="Q11" s="55"/>
      <c r="R11" s="60"/>
      <c r="S11" s="55"/>
      <c r="T11" s="60"/>
      <c r="U11" s="55"/>
      <c r="V11" s="60"/>
      <c r="W11" s="55"/>
      <c r="X11" s="60"/>
      <c r="Y11" s="55"/>
      <c r="Z11" s="58"/>
      <c r="AA11" s="55"/>
    </row>
    <row r="12" spans="1:27" s="56" customFormat="1" ht="23.25" customHeight="1" x14ac:dyDescent="0.25">
      <c r="A12" s="57" t="s">
        <v>6</v>
      </c>
      <c r="B12" s="58">
        <f t="shared" si="0"/>
        <v>3329.73</v>
      </c>
      <c r="C12" s="55">
        <v>3995.67</v>
      </c>
      <c r="D12" s="58">
        <f t="shared" si="1"/>
        <v>4451.7299999999996</v>
      </c>
      <c r="E12" s="59">
        <v>5342.07</v>
      </c>
      <c r="F12" s="58">
        <f t="shared" ref="F12" si="15">ROUND(G12/1.2,2)</f>
        <v>3452.73</v>
      </c>
      <c r="G12" s="59">
        <v>4143.2700000000004</v>
      </c>
      <c r="H12" s="58">
        <f t="shared" ref="H12" si="16">ROUND(I12/1.2,2)</f>
        <v>3934.73</v>
      </c>
      <c r="I12" s="59">
        <v>4721.67</v>
      </c>
      <c r="J12" s="60">
        <f t="shared" ref="J12" si="17">ROUND(K12/1.2,2)</f>
        <v>3181.53</v>
      </c>
      <c r="K12" s="55">
        <v>3817.84</v>
      </c>
      <c r="L12" s="60">
        <v>5198.7</v>
      </c>
      <c r="M12" s="55">
        <f t="shared" si="8"/>
        <v>6238.44</v>
      </c>
      <c r="N12" s="60">
        <v>5602.93</v>
      </c>
      <c r="O12" s="55">
        <f t="shared" si="8"/>
        <v>6723.52</v>
      </c>
      <c r="P12" s="60"/>
      <c r="Q12" s="55"/>
      <c r="R12" s="60"/>
      <c r="S12" s="55"/>
      <c r="T12" s="60"/>
      <c r="U12" s="55"/>
      <c r="V12" s="60"/>
      <c r="W12" s="55"/>
      <c r="X12" s="60"/>
      <c r="Y12" s="55"/>
      <c r="Z12" s="58"/>
      <c r="AA12" s="55"/>
    </row>
    <row r="13" spans="1:27" s="56" customFormat="1" ht="23.25" customHeight="1" x14ac:dyDescent="0.25">
      <c r="A13" s="57" t="s">
        <v>7</v>
      </c>
      <c r="B13" s="58">
        <f t="shared" si="0"/>
        <v>3329.73</v>
      </c>
      <c r="C13" s="55">
        <v>3995.67</v>
      </c>
      <c r="D13" s="58">
        <f t="shared" si="1"/>
        <v>4451.7299999999996</v>
      </c>
      <c r="E13" s="59">
        <v>5342.07</v>
      </c>
      <c r="F13" s="58">
        <f t="shared" ref="F13" si="18">ROUND(G13/1.2,2)</f>
        <v>3452.73</v>
      </c>
      <c r="G13" s="59">
        <v>4143.2700000000004</v>
      </c>
      <c r="H13" s="58">
        <f t="shared" ref="H13" si="19">ROUND(I13/1.2,2)</f>
        <v>3934.73</v>
      </c>
      <c r="I13" s="59">
        <v>4721.67</v>
      </c>
      <c r="J13" s="60">
        <f t="shared" ref="J13" si="20">ROUND(K13/1.2,2)</f>
        <v>2520.31</v>
      </c>
      <c r="K13" s="55">
        <v>3024.37</v>
      </c>
      <c r="L13" s="60"/>
      <c r="M13" s="55"/>
      <c r="N13" s="60"/>
      <c r="O13" s="55"/>
      <c r="P13" s="60"/>
      <c r="Q13" s="55"/>
      <c r="R13" s="60">
        <f>(2076+3740)/1.2</f>
        <v>4846.666666666667</v>
      </c>
      <c r="S13" s="55">
        <f>R13*1.2</f>
        <v>5816</v>
      </c>
      <c r="T13" s="60"/>
      <c r="U13" s="55"/>
      <c r="V13" s="60"/>
      <c r="W13" s="55"/>
      <c r="X13" s="60"/>
      <c r="Y13" s="55"/>
      <c r="Z13" s="58"/>
      <c r="AA13" s="55"/>
    </row>
    <row r="14" spans="1:27" s="56" customFormat="1" ht="23.25" customHeight="1" x14ac:dyDescent="0.25">
      <c r="A14" s="57" t="s">
        <v>8</v>
      </c>
      <c r="B14" s="58">
        <f t="shared" si="0"/>
        <v>3377.33</v>
      </c>
      <c r="C14" s="55">
        <v>4052.79</v>
      </c>
      <c r="D14" s="58">
        <f t="shared" si="1"/>
        <v>4499.33</v>
      </c>
      <c r="E14" s="59">
        <v>5399.19</v>
      </c>
      <c r="F14" s="58">
        <f t="shared" ref="F14" si="21">ROUND(G14/1.2,2)</f>
        <v>3500.33</v>
      </c>
      <c r="G14" s="59">
        <v>4200.3900000000003</v>
      </c>
      <c r="H14" s="58">
        <f t="shared" ref="H14" si="22">ROUND(I14/1.2,2)</f>
        <v>3982.33</v>
      </c>
      <c r="I14" s="59">
        <v>4778.79</v>
      </c>
      <c r="J14" s="60">
        <f t="shared" ref="J14" si="23">ROUND(K14/1.2,2)</f>
        <v>3217.81</v>
      </c>
      <c r="K14" s="55">
        <v>3861.37</v>
      </c>
      <c r="L14" s="60">
        <v>5280.4400000000005</v>
      </c>
      <c r="M14" s="55">
        <f t="shared" si="8"/>
        <v>6336.53</v>
      </c>
      <c r="N14" s="60">
        <v>5684.67</v>
      </c>
      <c r="O14" s="55">
        <f t="shared" si="8"/>
        <v>6821.6</v>
      </c>
      <c r="P14" s="60"/>
      <c r="Q14" s="55"/>
      <c r="R14" s="60"/>
      <c r="S14" s="55"/>
      <c r="T14" s="60"/>
      <c r="U14" s="55"/>
      <c r="V14" s="60"/>
      <c r="W14" s="55"/>
      <c r="X14" s="60"/>
      <c r="Y14" s="55"/>
      <c r="Z14" s="58"/>
      <c r="AA14" s="55"/>
    </row>
    <row r="15" spans="1:27" s="56" customFormat="1" ht="23.25" customHeight="1" x14ac:dyDescent="0.25">
      <c r="A15" s="57" t="s">
        <v>9</v>
      </c>
      <c r="B15" s="58">
        <f t="shared" si="0"/>
        <v>2645.57</v>
      </c>
      <c r="C15" s="55">
        <v>3174.68</v>
      </c>
      <c r="D15" s="58">
        <f t="shared" si="1"/>
        <v>3767.57</v>
      </c>
      <c r="E15" s="59">
        <v>4521.08</v>
      </c>
      <c r="F15" s="58">
        <f t="shared" ref="F15" si="24">ROUND(G15/1.2,2)</f>
        <v>2768.57</v>
      </c>
      <c r="G15" s="59">
        <v>3322.28</v>
      </c>
      <c r="H15" s="58">
        <f t="shared" ref="H15" si="25">ROUND(I15/1.2,2)</f>
        <v>3250.57</v>
      </c>
      <c r="I15" s="59">
        <v>3900.68</v>
      </c>
      <c r="J15" s="60">
        <f t="shared" ref="J15" si="26">ROUND(K15/1.2,2)</f>
        <v>2680.93</v>
      </c>
      <c r="K15" s="55">
        <v>3217.11</v>
      </c>
      <c r="L15" s="60"/>
      <c r="M15" s="55"/>
      <c r="N15" s="60"/>
      <c r="O15" s="55"/>
      <c r="P15" s="60"/>
      <c r="Q15" s="55"/>
      <c r="R15" s="60"/>
      <c r="S15" s="55"/>
      <c r="T15" s="60"/>
      <c r="U15" s="55"/>
      <c r="V15" s="60"/>
      <c r="W15" s="55"/>
      <c r="X15" s="60"/>
      <c r="Y15" s="55"/>
      <c r="Z15" s="58">
        <v>5855</v>
      </c>
      <c r="AA15" s="55">
        <f>ROUND(Z15*1.2,2)</f>
        <v>7026</v>
      </c>
    </row>
    <row r="16" spans="1:27" s="56" customFormat="1" ht="23.25" customHeight="1" x14ac:dyDescent="0.25">
      <c r="A16" s="57" t="s">
        <v>10</v>
      </c>
      <c r="B16" s="58">
        <f t="shared" si="0"/>
        <v>2781.22</v>
      </c>
      <c r="C16" s="55">
        <v>3337.46</v>
      </c>
      <c r="D16" s="58">
        <f t="shared" si="1"/>
        <v>3903.22</v>
      </c>
      <c r="E16" s="59">
        <v>4683.8599999999997</v>
      </c>
      <c r="F16" s="58">
        <f t="shared" ref="F16" si="27">ROUND(G16/1.2,2)</f>
        <v>2904.22</v>
      </c>
      <c r="G16" s="59">
        <v>3485.06</v>
      </c>
      <c r="H16" s="58">
        <f t="shared" ref="H16" si="28">ROUND(I16/1.2,2)</f>
        <v>3386.22</v>
      </c>
      <c r="I16" s="59">
        <v>4063.46</v>
      </c>
      <c r="J16" s="60">
        <f t="shared" ref="J16" si="29">ROUND(K16/1.2,2)</f>
        <v>2655.35</v>
      </c>
      <c r="K16" s="55">
        <v>3186.42</v>
      </c>
      <c r="L16" s="60"/>
      <c r="M16" s="55"/>
      <c r="N16" s="60"/>
      <c r="O16" s="55"/>
      <c r="P16" s="60"/>
      <c r="Q16" s="55"/>
      <c r="R16" s="60"/>
      <c r="S16" s="55"/>
      <c r="T16" s="60"/>
      <c r="U16" s="55"/>
      <c r="V16" s="60"/>
      <c r="W16" s="55"/>
      <c r="X16" s="60"/>
      <c r="Y16" s="55"/>
      <c r="Z16" s="58"/>
      <c r="AA16" s="55"/>
    </row>
    <row r="17" spans="1:29" s="56" customFormat="1" ht="23.25" customHeight="1" x14ac:dyDescent="0.25">
      <c r="A17" s="57" t="s">
        <v>11</v>
      </c>
      <c r="B17" s="58">
        <f t="shared" si="0"/>
        <v>3567.17</v>
      </c>
      <c r="C17" s="55">
        <v>4280.6000000000004</v>
      </c>
      <c r="D17" s="58">
        <f t="shared" si="1"/>
        <v>4689.17</v>
      </c>
      <c r="E17" s="59">
        <v>5627</v>
      </c>
      <c r="F17" s="58">
        <f t="shared" ref="F17" si="30">ROUND(G17/1.2,2)</f>
        <v>3690.17</v>
      </c>
      <c r="G17" s="59">
        <v>4428.2</v>
      </c>
      <c r="H17" s="58">
        <f t="shared" ref="H17" si="31">ROUND(I17/1.2,2)</f>
        <v>4172.17</v>
      </c>
      <c r="I17" s="59">
        <v>5006.6000000000004</v>
      </c>
      <c r="J17" s="60">
        <f t="shared" ref="J17" si="32">ROUND(K17/1.2,2)</f>
        <v>3445.8</v>
      </c>
      <c r="K17" s="55">
        <v>4134.96</v>
      </c>
      <c r="L17" s="60"/>
      <c r="M17" s="55"/>
      <c r="N17" s="60"/>
      <c r="O17" s="55"/>
      <c r="P17" s="60"/>
      <c r="Q17" s="55"/>
      <c r="R17" s="60"/>
      <c r="S17" s="55"/>
      <c r="T17" s="60"/>
      <c r="U17" s="55"/>
      <c r="V17" s="60"/>
      <c r="W17" s="55"/>
      <c r="X17" s="60"/>
      <c r="Y17" s="55"/>
      <c r="Z17" s="58"/>
      <c r="AA17" s="55"/>
    </row>
    <row r="18" spans="1:29" s="56" customFormat="1" ht="23.25" customHeight="1" x14ac:dyDescent="0.25">
      <c r="A18" s="57" t="s">
        <v>12</v>
      </c>
      <c r="B18" s="58">
        <f t="shared" si="0"/>
        <v>2708.47</v>
      </c>
      <c r="C18" s="55">
        <v>3250.16</v>
      </c>
      <c r="D18" s="58">
        <f t="shared" si="1"/>
        <v>3830.47</v>
      </c>
      <c r="E18" s="59">
        <v>4596.5600000000004</v>
      </c>
      <c r="F18" s="58">
        <f t="shared" ref="F18" si="33">ROUND(G18/1.2,2)</f>
        <v>2831.47</v>
      </c>
      <c r="G18" s="59">
        <v>3397.76</v>
      </c>
      <c r="H18" s="58">
        <f t="shared" ref="H18" si="34">ROUND(I18/1.2,2)</f>
        <v>3313.47</v>
      </c>
      <c r="I18" s="59">
        <v>3976.16</v>
      </c>
      <c r="J18" s="60">
        <f t="shared" ref="J18" si="35">ROUND(K18/1.2,2)</f>
        <v>2719.83</v>
      </c>
      <c r="K18" s="55">
        <v>3263.79</v>
      </c>
      <c r="L18" s="60"/>
      <c r="M18" s="55"/>
      <c r="N18" s="60"/>
      <c r="O18" s="55"/>
      <c r="P18" s="60"/>
      <c r="Q18" s="55"/>
      <c r="R18" s="60"/>
      <c r="S18" s="55"/>
      <c r="T18" s="60"/>
      <c r="U18" s="55"/>
      <c r="V18" s="60"/>
      <c r="W18" s="55"/>
      <c r="X18" s="60"/>
      <c r="Y18" s="55"/>
      <c r="Z18" s="58"/>
      <c r="AA18" s="55"/>
    </row>
    <row r="19" spans="1:29" s="56" customFormat="1" ht="23.25" customHeight="1" x14ac:dyDescent="0.25">
      <c r="A19" s="61" t="s">
        <v>13</v>
      </c>
      <c r="B19" s="58">
        <f t="shared" si="0"/>
        <v>2906.63</v>
      </c>
      <c r="C19" s="55">
        <v>3487.95</v>
      </c>
      <c r="D19" s="58">
        <f t="shared" si="1"/>
        <v>4028.63</v>
      </c>
      <c r="E19" s="59">
        <v>4834.3500000000004</v>
      </c>
      <c r="F19" s="58">
        <f t="shared" ref="F19" si="36">ROUND(G19/1.2,2)</f>
        <v>3029.63</v>
      </c>
      <c r="G19" s="59">
        <v>3635.55</v>
      </c>
      <c r="H19" s="58">
        <f t="shared" ref="H19" si="37">ROUND(I19/1.2,2)</f>
        <v>3511.63</v>
      </c>
      <c r="I19" s="59">
        <v>4213.95</v>
      </c>
      <c r="J19" s="60">
        <f t="shared" ref="J19" si="38">ROUND(K19/1.2,2)</f>
        <v>2520.31</v>
      </c>
      <c r="K19" s="55">
        <v>3024.37</v>
      </c>
      <c r="L19" s="60">
        <v>4564.0200000000004</v>
      </c>
      <c r="M19" s="55">
        <f t="shared" ref="M19:O19" si="39">ROUND(L19*1.2,2)</f>
        <v>5476.82</v>
      </c>
      <c r="N19" s="60">
        <v>4968.25</v>
      </c>
      <c r="O19" s="55">
        <f t="shared" si="39"/>
        <v>5961.9</v>
      </c>
      <c r="P19" s="60"/>
      <c r="Q19" s="55"/>
      <c r="R19" s="60"/>
      <c r="S19" s="55"/>
      <c r="T19" s="60"/>
      <c r="U19" s="55"/>
      <c r="V19" s="60"/>
      <c r="W19" s="55"/>
      <c r="X19" s="60"/>
      <c r="Y19" s="55"/>
      <c r="Z19" s="58"/>
      <c r="AA19" s="55"/>
    </row>
    <row r="20" spans="1:29" s="56" customFormat="1" ht="23.25" customHeight="1" x14ac:dyDescent="0.25">
      <c r="A20" s="61" t="s">
        <v>14</v>
      </c>
      <c r="B20" s="58">
        <f t="shared" si="0"/>
        <v>3687.2</v>
      </c>
      <c r="C20" s="55">
        <v>4424.6400000000003</v>
      </c>
      <c r="D20" s="58">
        <f t="shared" si="1"/>
        <v>4809.2</v>
      </c>
      <c r="E20" s="59">
        <v>5771.04</v>
      </c>
      <c r="F20" s="58">
        <f t="shared" ref="F20" si="40">ROUND(G20/1.2,2)</f>
        <v>3810.2</v>
      </c>
      <c r="G20" s="59">
        <v>4572.24</v>
      </c>
      <c r="H20" s="58">
        <f t="shared" ref="H20" si="41">ROUND(I20/1.2,2)</f>
        <v>4292.2</v>
      </c>
      <c r="I20" s="59">
        <v>5150.6400000000003</v>
      </c>
      <c r="J20" s="60">
        <f t="shared" ref="J20" si="42">ROUND(K20/1.2,2)</f>
        <v>3565.73</v>
      </c>
      <c r="K20" s="55">
        <v>4278.87</v>
      </c>
      <c r="L20" s="60"/>
      <c r="M20" s="55"/>
      <c r="N20" s="60"/>
      <c r="O20" s="55"/>
      <c r="P20" s="60"/>
      <c r="Q20" s="55"/>
      <c r="R20" s="60"/>
      <c r="S20" s="55"/>
      <c r="T20" s="60"/>
      <c r="U20" s="55"/>
      <c r="V20" s="60"/>
      <c r="W20" s="55"/>
      <c r="X20" s="60"/>
      <c r="Y20" s="55"/>
      <c r="Z20" s="58"/>
      <c r="AA20" s="55"/>
    </row>
    <row r="21" spans="1:29" s="56" customFormat="1" ht="23.25" customHeight="1" x14ac:dyDescent="0.25">
      <c r="A21" s="61" t="s">
        <v>15</v>
      </c>
      <c r="B21" s="58">
        <f t="shared" si="0"/>
        <v>3104.28</v>
      </c>
      <c r="C21" s="55">
        <v>3725.14</v>
      </c>
      <c r="D21" s="58">
        <f t="shared" si="1"/>
        <v>4226.28</v>
      </c>
      <c r="E21" s="59">
        <v>5071.54</v>
      </c>
      <c r="F21" s="58">
        <f t="shared" ref="F21" si="43">ROUND(G21/1.2,2)</f>
        <v>3227.28</v>
      </c>
      <c r="G21" s="59">
        <v>3872.74</v>
      </c>
      <c r="H21" s="58">
        <f t="shared" ref="H21" si="44">ROUND(I21/1.2,2)</f>
        <v>3709.28</v>
      </c>
      <c r="I21" s="59">
        <v>4451.1400000000003</v>
      </c>
      <c r="J21" s="60">
        <f t="shared" ref="J21" si="45">ROUND(K21/1.2,2)</f>
        <v>2986.36</v>
      </c>
      <c r="K21" s="55">
        <v>3583.63</v>
      </c>
      <c r="L21" s="60">
        <v>5047.38</v>
      </c>
      <c r="M21" s="55">
        <f t="shared" ref="M21:O21" si="46">ROUND(L21*1.2,2)</f>
        <v>6056.86</v>
      </c>
      <c r="N21" s="60">
        <v>5451.61</v>
      </c>
      <c r="O21" s="55">
        <f t="shared" si="46"/>
        <v>6541.93</v>
      </c>
      <c r="P21" s="60"/>
      <c r="Q21" s="55"/>
      <c r="R21" s="60"/>
      <c r="S21" s="55"/>
      <c r="T21" s="60"/>
      <c r="U21" s="55"/>
      <c r="V21" s="60"/>
      <c r="W21" s="55"/>
      <c r="X21" s="60"/>
      <c r="Y21" s="55"/>
      <c r="Z21" s="58"/>
      <c r="AA21" s="55"/>
    </row>
    <row r="22" spans="1:29" s="56" customFormat="1" ht="23.25" customHeight="1" x14ac:dyDescent="0.25">
      <c r="A22" s="61" t="s">
        <v>16</v>
      </c>
      <c r="B22" s="58">
        <f t="shared" si="0"/>
        <v>2701.23</v>
      </c>
      <c r="C22" s="55">
        <v>3241.48</v>
      </c>
      <c r="D22" s="58">
        <f t="shared" si="1"/>
        <v>3823.23</v>
      </c>
      <c r="E22" s="59">
        <v>4587.88</v>
      </c>
      <c r="F22" s="58">
        <f t="shared" ref="F22" si="47">ROUND(G22/1.2,2)</f>
        <v>2824.23</v>
      </c>
      <c r="G22" s="59">
        <v>3389.08</v>
      </c>
      <c r="H22" s="58">
        <f t="shared" ref="H22" si="48">ROUND(I22/1.2,2)</f>
        <v>3306.23</v>
      </c>
      <c r="I22" s="59">
        <v>3967.48</v>
      </c>
      <c r="J22" s="60">
        <f t="shared" ref="J22" si="49">ROUND(K22/1.2,2)</f>
        <v>2733.96</v>
      </c>
      <c r="K22" s="55">
        <v>3280.75</v>
      </c>
      <c r="L22" s="60"/>
      <c r="M22" s="55"/>
      <c r="N22" s="60"/>
      <c r="O22" s="55"/>
      <c r="P22" s="60"/>
      <c r="Q22" s="55"/>
      <c r="R22" s="60"/>
      <c r="S22" s="55"/>
      <c r="T22" s="60"/>
      <c r="U22" s="55"/>
      <c r="V22" s="60"/>
      <c r="W22" s="55"/>
      <c r="X22" s="60"/>
      <c r="Y22" s="55"/>
      <c r="Z22" s="58"/>
      <c r="AA22" s="55"/>
    </row>
    <row r="23" spans="1:29" s="56" customFormat="1" ht="23.25" customHeight="1" x14ac:dyDescent="0.25">
      <c r="A23" s="57" t="s">
        <v>17</v>
      </c>
      <c r="B23" s="58">
        <f t="shared" si="0"/>
        <v>3008.73</v>
      </c>
      <c r="C23" s="55">
        <v>3610.48</v>
      </c>
      <c r="D23" s="58">
        <f t="shared" si="1"/>
        <v>4130.7299999999996</v>
      </c>
      <c r="E23" s="59">
        <v>4956.88</v>
      </c>
      <c r="F23" s="58">
        <f t="shared" ref="F23" si="50">ROUND(G23/1.2,2)</f>
        <v>3131.73</v>
      </c>
      <c r="G23" s="59">
        <v>3758.08</v>
      </c>
      <c r="H23" s="58">
        <f t="shared" ref="H23" si="51">ROUND(I23/1.2,2)</f>
        <v>3613.73</v>
      </c>
      <c r="I23" s="59">
        <v>4336.4799999999996</v>
      </c>
      <c r="J23" s="60">
        <f t="shared" ref="J23" si="52">ROUND(K23/1.2,2)</f>
        <v>2376.4299999999998</v>
      </c>
      <c r="K23" s="55">
        <v>2851.72</v>
      </c>
      <c r="L23" s="60"/>
      <c r="M23" s="55"/>
      <c r="N23" s="60"/>
      <c r="O23" s="55"/>
      <c r="P23" s="60"/>
      <c r="Q23" s="55"/>
      <c r="R23" s="60"/>
      <c r="S23" s="55"/>
      <c r="T23" s="60"/>
      <c r="U23" s="55"/>
      <c r="V23" s="60"/>
      <c r="W23" s="55"/>
      <c r="X23" s="60"/>
      <c r="Y23" s="55"/>
      <c r="Z23" s="58"/>
      <c r="AA23" s="55"/>
    </row>
    <row r="24" spans="1:29" s="56" customFormat="1" ht="23.25" customHeight="1" x14ac:dyDescent="0.25">
      <c r="A24" s="57" t="s">
        <v>18</v>
      </c>
      <c r="B24" s="58">
        <f t="shared" si="0"/>
        <v>3528.7</v>
      </c>
      <c r="C24" s="55">
        <v>4234.4399999999996</v>
      </c>
      <c r="D24" s="58">
        <f t="shared" si="1"/>
        <v>4650.7</v>
      </c>
      <c r="E24" s="59">
        <v>5580.84</v>
      </c>
      <c r="F24" s="58">
        <f t="shared" ref="F24" si="53">ROUND(G24/1.2,2)</f>
        <v>3651.7</v>
      </c>
      <c r="G24" s="59">
        <v>4382.04</v>
      </c>
      <c r="H24" s="58">
        <f t="shared" ref="H24" si="54">ROUND(I24/1.2,2)</f>
        <v>4133.7</v>
      </c>
      <c r="I24" s="59">
        <v>4960.4399999999996</v>
      </c>
      <c r="J24" s="60">
        <f t="shared" ref="J24" si="55">ROUND(K24/1.2,2)</f>
        <v>2733.96</v>
      </c>
      <c r="K24" s="55">
        <v>3280.75</v>
      </c>
      <c r="L24" s="60"/>
      <c r="M24" s="55"/>
      <c r="N24" s="60"/>
      <c r="O24" s="55"/>
      <c r="P24" s="60"/>
      <c r="Q24" s="55"/>
      <c r="R24" s="60"/>
      <c r="S24" s="55"/>
      <c r="T24" s="60"/>
      <c r="U24" s="55"/>
      <c r="V24" s="60"/>
      <c r="W24" s="55"/>
      <c r="X24" s="60"/>
      <c r="Y24" s="55"/>
      <c r="Z24" s="58"/>
      <c r="AA24" s="55"/>
    </row>
    <row r="25" spans="1:29" s="56" customFormat="1" ht="23.25" customHeight="1" x14ac:dyDescent="0.25">
      <c r="A25" s="57" t="s">
        <v>28</v>
      </c>
      <c r="B25" s="58">
        <f t="shared" si="0"/>
        <v>3104.28</v>
      </c>
      <c r="C25" s="55">
        <v>3725.14</v>
      </c>
      <c r="D25" s="58">
        <f t="shared" si="1"/>
        <v>4226.28</v>
      </c>
      <c r="E25" s="59">
        <v>5071.54</v>
      </c>
      <c r="F25" s="58">
        <f t="shared" ref="F25" si="56">ROUND(G25/1.2,2)</f>
        <v>3227.28</v>
      </c>
      <c r="G25" s="59">
        <v>3872.74</v>
      </c>
      <c r="H25" s="58">
        <f t="shared" ref="H25" si="57">ROUND(I25/1.2,2)</f>
        <v>3709.28</v>
      </c>
      <c r="I25" s="59">
        <v>4451.1400000000003</v>
      </c>
      <c r="J25" s="60">
        <f t="shared" ref="J25" si="58">ROUND(K25/1.2,2)</f>
        <v>2947.04</v>
      </c>
      <c r="K25" s="55">
        <v>3536.45</v>
      </c>
      <c r="L25" s="60">
        <v>5047.38</v>
      </c>
      <c r="M25" s="55">
        <f t="shared" ref="M25:O25" si="59">ROUND(L25*1.2,2)</f>
        <v>6056.86</v>
      </c>
      <c r="N25" s="60">
        <v>5451.61</v>
      </c>
      <c r="O25" s="55">
        <f t="shared" si="59"/>
        <v>6541.93</v>
      </c>
      <c r="P25" s="60"/>
      <c r="Q25" s="55"/>
      <c r="R25" s="60"/>
      <c r="S25" s="55"/>
      <c r="T25" s="60"/>
      <c r="U25" s="55"/>
      <c r="V25" s="60"/>
      <c r="W25" s="55"/>
      <c r="X25" s="60"/>
      <c r="Y25" s="55"/>
      <c r="Z25" s="58"/>
      <c r="AA25" s="55"/>
    </row>
    <row r="26" spans="1:29" s="56" customFormat="1" ht="23.25" customHeight="1" x14ac:dyDescent="0.25">
      <c r="A26" s="57" t="s">
        <v>19</v>
      </c>
      <c r="B26" s="58">
        <f t="shared" si="0"/>
        <v>3510.19</v>
      </c>
      <c r="C26" s="55">
        <v>4212.2299999999996</v>
      </c>
      <c r="D26" s="58">
        <f t="shared" si="1"/>
        <v>4632.1899999999996</v>
      </c>
      <c r="E26" s="59">
        <v>5558.63</v>
      </c>
      <c r="F26" s="58">
        <f t="shared" ref="F26" si="60">ROUND(G26/1.2,2)</f>
        <v>3633.19</v>
      </c>
      <c r="G26" s="59">
        <v>4359.83</v>
      </c>
      <c r="H26" s="58">
        <f t="shared" ref="H26" si="61">ROUND(I26/1.2,2)</f>
        <v>4115.1899999999996</v>
      </c>
      <c r="I26" s="59">
        <v>4938.2299999999996</v>
      </c>
      <c r="J26" s="60">
        <f t="shared" ref="J26" si="62">ROUND(K26/1.2,2)</f>
        <v>3377.63</v>
      </c>
      <c r="K26" s="55">
        <v>4053.15</v>
      </c>
      <c r="L26" s="60"/>
      <c r="M26" s="55"/>
      <c r="N26" s="60"/>
      <c r="O26" s="55"/>
      <c r="P26" s="60"/>
      <c r="Q26" s="55"/>
      <c r="R26" s="60"/>
      <c r="S26" s="55"/>
      <c r="T26" s="60"/>
      <c r="U26" s="55"/>
      <c r="V26" s="60"/>
      <c r="W26" s="55"/>
      <c r="X26" s="60"/>
      <c r="Y26" s="55"/>
      <c r="Z26" s="58"/>
      <c r="AA26" s="55"/>
    </row>
    <row r="27" spans="1:29" s="56" customFormat="1" ht="23.25" customHeight="1" x14ac:dyDescent="0.25">
      <c r="A27" s="57" t="s">
        <v>20</v>
      </c>
      <c r="B27" s="58">
        <f t="shared" si="0"/>
        <v>2967.31</v>
      </c>
      <c r="C27" s="55">
        <v>3560.77</v>
      </c>
      <c r="D27" s="58">
        <f t="shared" si="1"/>
        <v>4089.31</v>
      </c>
      <c r="E27" s="59">
        <v>4907.17</v>
      </c>
      <c r="F27" s="58">
        <f t="shared" ref="F27" si="63">ROUND(G27/1.2,2)</f>
        <v>3090.31</v>
      </c>
      <c r="G27" s="59">
        <v>3708.37</v>
      </c>
      <c r="H27" s="58">
        <f t="shared" ref="H27" si="64">ROUND(I27/1.2,2)</f>
        <v>3572.31</v>
      </c>
      <c r="I27" s="59">
        <v>4286.7700000000004</v>
      </c>
      <c r="J27" s="60">
        <f t="shared" ref="J27" si="65">ROUND(K27/1.2,2)</f>
        <v>2851.28</v>
      </c>
      <c r="K27" s="55">
        <v>3421.53</v>
      </c>
      <c r="L27" s="60"/>
      <c r="M27" s="55"/>
      <c r="N27" s="60"/>
      <c r="O27" s="55"/>
      <c r="P27" s="60"/>
      <c r="Q27" s="55"/>
      <c r="R27" s="60"/>
      <c r="S27" s="55"/>
      <c r="T27" s="60"/>
      <c r="U27" s="55"/>
      <c r="V27" s="60"/>
      <c r="W27" s="55"/>
      <c r="X27" s="60"/>
      <c r="Y27" s="55"/>
      <c r="Z27" s="58"/>
      <c r="AA27" s="55"/>
      <c r="AB27" s="56">
        <v>2693</v>
      </c>
    </row>
    <row r="28" spans="1:29" s="56" customFormat="1" ht="23.25" customHeight="1" x14ac:dyDescent="0.25">
      <c r="A28" s="57" t="s">
        <v>21</v>
      </c>
      <c r="B28" s="58">
        <f t="shared" si="0"/>
        <v>3234.16</v>
      </c>
      <c r="C28" s="55">
        <v>3880.99</v>
      </c>
      <c r="D28" s="58">
        <f t="shared" si="1"/>
        <v>4356.16</v>
      </c>
      <c r="E28" s="59">
        <v>5227.3900000000003</v>
      </c>
      <c r="F28" s="58">
        <f t="shared" ref="F28" si="66">ROUND(G28/1.2,2)</f>
        <v>3357.16</v>
      </c>
      <c r="G28" s="59">
        <v>4028.59</v>
      </c>
      <c r="H28" s="58">
        <f t="shared" ref="H28" si="67">ROUND(I28/1.2,2)</f>
        <v>3839.16</v>
      </c>
      <c r="I28" s="59">
        <v>4606.99</v>
      </c>
      <c r="J28" s="60">
        <f t="shared" ref="J28" si="68">ROUND(K28/1.2,2)</f>
        <v>3095.87</v>
      </c>
      <c r="K28" s="55">
        <v>3715.04</v>
      </c>
      <c r="L28" s="60"/>
      <c r="M28" s="55"/>
      <c r="N28" s="60"/>
      <c r="O28" s="55"/>
      <c r="P28" s="60"/>
      <c r="Q28" s="55"/>
      <c r="R28" s="60"/>
      <c r="S28" s="55"/>
      <c r="T28" s="60"/>
      <c r="U28" s="55"/>
      <c r="V28" s="60"/>
      <c r="W28" s="55"/>
      <c r="X28" s="60"/>
      <c r="Y28" s="55"/>
      <c r="Z28" s="58"/>
      <c r="AA28" s="55"/>
      <c r="AB28" s="56">
        <f>30*1.2</f>
        <v>36</v>
      </c>
      <c r="AC28" s="56">
        <f>AB29-AB27</f>
        <v>36.230000000000018</v>
      </c>
    </row>
    <row r="29" spans="1:29" s="56" customFormat="1" ht="23.25" customHeight="1" x14ac:dyDescent="0.25">
      <c r="A29" s="57" t="s">
        <v>22</v>
      </c>
      <c r="B29" s="58">
        <f t="shared" si="0"/>
        <v>3464.08</v>
      </c>
      <c r="C29" s="55">
        <v>4156.8900000000003</v>
      </c>
      <c r="D29" s="58">
        <f t="shared" si="1"/>
        <v>4586.08</v>
      </c>
      <c r="E29" s="59">
        <v>5503.29</v>
      </c>
      <c r="F29" s="58">
        <f t="shared" ref="F29" si="69">ROUND(G29/1.2,2)</f>
        <v>3587.08</v>
      </c>
      <c r="G29" s="59">
        <v>4304.49</v>
      </c>
      <c r="H29" s="58">
        <f t="shared" ref="H29" si="70">ROUND(I29/1.2,2)</f>
        <v>4069.08</v>
      </c>
      <c r="I29" s="59">
        <v>4882.8900000000003</v>
      </c>
      <c r="J29" s="60">
        <f t="shared" ref="J29" si="71">ROUND(K29/1.2,2)</f>
        <v>3318.77</v>
      </c>
      <c r="K29" s="55">
        <v>3982.52</v>
      </c>
      <c r="L29" s="60">
        <v>5383.38</v>
      </c>
      <c r="M29" s="55">
        <f t="shared" ref="M29:O30" si="72">ROUND(L29*1.2,2)</f>
        <v>6460.06</v>
      </c>
      <c r="N29" s="60">
        <v>5787.6100000000006</v>
      </c>
      <c r="O29" s="55">
        <f t="shared" si="72"/>
        <v>6945.13</v>
      </c>
      <c r="P29" s="60"/>
      <c r="Q29" s="55"/>
      <c r="R29" s="60"/>
      <c r="S29" s="55"/>
      <c r="T29" s="60"/>
      <c r="U29" s="55"/>
      <c r="V29" s="60"/>
      <c r="W29" s="55"/>
      <c r="X29" s="60"/>
      <c r="Y29" s="55"/>
      <c r="Z29" s="58"/>
      <c r="AA29" s="55"/>
      <c r="AB29" s="56">
        <f>2729.23</f>
        <v>2729.23</v>
      </c>
      <c r="AC29" s="64">
        <f>AB29*1000*1.2</f>
        <v>3275076</v>
      </c>
    </row>
    <row r="30" spans="1:29" s="56" customFormat="1" ht="23.25" customHeight="1" x14ac:dyDescent="0.25">
      <c r="A30" s="57" t="s">
        <v>23</v>
      </c>
      <c r="B30" s="58">
        <f t="shared" si="0"/>
        <v>3246.22</v>
      </c>
      <c r="C30" s="55">
        <v>3895.46</v>
      </c>
      <c r="D30" s="58">
        <f t="shared" si="1"/>
        <v>4368.22</v>
      </c>
      <c r="E30" s="59">
        <v>5241.8599999999997</v>
      </c>
      <c r="F30" s="58">
        <f t="shared" ref="F30" si="73">ROUND(G30/1.2,2)</f>
        <v>3369.22</v>
      </c>
      <c r="G30" s="59">
        <v>4043.06</v>
      </c>
      <c r="H30" s="58">
        <f t="shared" ref="H30" si="74">ROUND(I30/1.2,2)</f>
        <v>3851.22</v>
      </c>
      <c r="I30" s="59">
        <v>4621.46</v>
      </c>
      <c r="J30" s="60">
        <f t="shared" ref="J30" si="75">ROUND(K30/1.2,2)</f>
        <v>3132.37</v>
      </c>
      <c r="K30" s="55">
        <v>3758.84</v>
      </c>
      <c r="L30" s="60">
        <v>5268.09</v>
      </c>
      <c r="M30" s="55">
        <f t="shared" si="72"/>
        <v>6321.71</v>
      </c>
      <c r="N30" s="60">
        <v>5672.32</v>
      </c>
      <c r="O30" s="55">
        <f t="shared" si="72"/>
        <v>6806.78</v>
      </c>
      <c r="P30" s="60"/>
      <c r="Q30" s="55"/>
      <c r="R30" s="60"/>
      <c r="S30" s="55"/>
      <c r="T30" s="60"/>
      <c r="U30" s="55"/>
      <c r="V30" s="60"/>
      <c r="W30" s="55"/>
      <c r="X30" s="60"/>
      <c r="Y30" s="55"/>
      <c r="Z30" s="58"/>
      <c r="AA30" s="55"/>
      <c r="AB30" s="56">
        <f>AB29*1.2</f>
        <v>3275.076</v>
      </c>
    </row>
    <row r="31" spans="1:29" s="56" customFormat="1" ht="23.25" customHeight="1" x14ac:dyDescent="0.25">
      <c r="A31" s="57" t="s">
        <v>24</v>
      </c>
      <c r="B31" s="58">
        <f t="shared" si="0"/>
        <v>2601.08</v>
      </c>
      <c r="C31" s="55">
        <v>3121.3</v>
      </c>
      <c r="D31" s="58">
        <f t="shared" si="1"/>
        <v>3723.08</v>
      </c>
      <c r="E31" s="59">
        <v>4467.7</v>
      </c>
      <c r="F31" s="58">
        <f t="shared" ref="F31" si="76">ROUND(G31/1.2,2)</f>
        <v>2724.08</v>
      </c>
      <c r="G31" s="59">
        <v>3268.9</v>
      </c>
      <c r="H31" s="58">
        <f t="shared" ref="H31" si="77">ROUND(I31/1.2,2)</f>
        <v>3206.08</v>
      </c>
      <c r="I31" s="59">
        <v>3847.3</v>
      </c>
      <c r="J31" s="60">
        <f t="shared" ref="J31" si="78">ROUND(K31/1.2,2)</f>
        <v>2804.94</v>
      </c>
      <c r="K31" s="55">
        <v>3365.93</v>
      </c>
      <c r="L31" s="60"/>
      <c r="M31" s="55"/>
      <c r="N31" s="60"/>
      <c r="O31" s="55"/>
      <c r="P31" s="60"/>
      <c r="Q31" s="55"/>
      <c r="R31" s="60"/>
      <c r="S31" s="55"/>
      <c r="T31" s="60"/>
      <c r="U31" s="55"/>
      <c r="V31" s="60"/>
      <c r="W31" s="55"/>
      <c r="X31" s="60"/>
      <c r="Y31" s="55"/>
      <c r="Z31" s="58"/>
      <c r="AA31" s="55"/>
    </row>
    <row r="32" spans="1:29" s="56" customFormat="1" ht="23.25" customHeight="1" x14ac:dyDescent="0.25">
      <c r="A32" s="57" t="s">
        <v>25</v>
      </c>
      <c r="B32" s="58">
        <f t="shared" si="0"/>
        <v>3008.73</v>
      </c>
      <c r="C32" s="55">
        <v>3610.48</v>
      </c>
      <c r="D32" s="58">
        <f t="shared" si="1"/>
        <v>4130.7299999999996</v>
      </c>
      <c r="E32" s="59">
        <v>4956.88</v>
      </c>
      <c r="F32" s="58">
        <f t="shared" ref="F32" si="79">ROUND(G32/1.2,2)</f>
        <v>3131.73</v>
      </c>
      <c r="G32" s="59">
        <v>3758.08</v>
      </c>
      <c r="H32" s="58">
        <f t="shared" ref="H32" si="80">ROUND(I32/1.2,2)</f>
        <v>3613.73</v>
      </c>
      <c r="I32" s="59">
        <v>4336.4799999999996</v>
      </c>
      <c r="J32" s="60">
        <f t="shared" ref="J32" si="81">ROUND(K32/1.2,2)</f>
        <v>2899.52</v>
      </c>
      <c r="K32" s="55">
        <v>3479.42</v>
      </c>
      <c r="L32" s="60">
        <v>5016.55</v>
      </c>
      <c r="M32" s="55">
        <f t="shared" ref="M32:O34" si="82">ROUND(L32*1.2,2)</f>
        <v>6019.86</v>
      </c>
      <c r="N32" s="60">
        <v>5420.78</v>
      </c>
      <c r="O32" s="55">
        <f t="shared" si="82"/>
        <v>6504.94</v>
      </c>
      <c r="P32" s="60"/>
      <c r="Q32" s="55"/>
      <c r="R32" s="60"/>
      <c r="S32" s="55"/>
      <c r="T32" s="60"/>
      <c r="U32" s="55"/>
      <c r="V32" s="60"/>
      <c r="W32" s="55"/>
      <c r="X32" s="60"/>
      <c r="Y32" s="55"/>
      <c r="Z32" s="58"/>
      <c r="AA32" s="55"/>
    </row>
    <row r="33" spans="1:27" s="56" customFormat="1" ht="23.25" customHeight="1" x14ac:dyDescent="0.25">
      <c r="A33" s="57" t="s">
        <v>26</v>
      </c>
      <c r="B33" s="58">
        <f t="shared" si="0"/>
        <v>3057.58</v>
      </c>
      <c r="C33" s="55">
        <v>3669.1</v>
      </c>
      <c r="D33" s="58">
        <f t="shared" si="1"/>
        <v>4179.58</v>
      </c>
      <c r="E33" s="59">
        <v>5015.5</v>
      </c>
      <c r="F33" s="58">
        <f t="shared" ref="F33" si="83">ROUND(G33/1.2,2)</f>
        <v>3180.58</v>
      </c>
      <c r="G33" s="59">
        <v>3816.7</v>
      </c>
      <c r="H33" s="58">
        <f t="shared" ref="H33" si="84">ROUND(I33/1.2,2)</f>
        <v>3662.58</v>
      </c>
      <c r="I33" s="59">
        <v>4395.1000000000004</v>
      </c>
      <c r="J33" s="60">
        <f t="shared" ref="J33" si="85">ROUND(K33/1.2,2)</f>
        <v>2338.34</v>
      </c>
      <c r="K33" s="55">
        <v>2806.01</v>
      </c>
      <c r="L33" s="60">
        <v>4358.25</v>
      </c>
      <c r="M33" s="55">
        <f t="shared" si="82"/>
        <v>5229.8999999999996</v>
      </c>
      <c r="N33" s="60">
        <v>4762.4799999999996</v>
      </c>
      <c r="O33" s="55">
        <f t="shared" si="82"/>
        <v>5714.98</v>
      </c>
      <c r="P33" s="60"/>
      <c r="Q33" s="55"/>
      <c r="R33" s="60"/>
      <c r="S33" s="55"/>
      <c r="T33" s="60"/>
      <c r="U33" s="55"/>
      <c r="V33" s="60"/>
      <c r="W33" s="55"/>
      <c r="X33" s="60"/>
      <c r="Y33" s="55"/>
      <c r="Z33" s="58"/>
      <c r="AA33" s="55"/>
    </row>
    <row r="34" spans="1:27" s="56" customFormat="1" ht="23.25" customHeight="1" thickBot="1" x14ac:dyDescent="0.3">
      <c r="A34" s="62" t="s">
        <v>29</v>
      </c>
      <c r="B34" s="42">
        <f t="shared" si="0"/>
        <v>1883</v>
      </c>
      <c r="C34" s="43">
        <v>2259.6</v>
      </c>
      <c r="D34" s="42">
        <f t="shared" si="1"/>
        <v>3005</v>
      </c>
      <c r="E34" s="44">
        <v>3606</v>
      </c>
      <c r="F34" s="42">
        <f t="shared" ref="F34" si="86">ROUND(G34/1.2,2)</f>
        <v>2006</v>
      </c>
      <c r="G34" s="44">
        <v>2407.1999999999998</v>
      </c>
      <c r="H34" s="42">
        <f t="shared" ref="H34" si="87">ROUND(I34/1.2,2)</f>
        <v>2488</v>
      </c>
      <c r="I34" s="44">
        <v>2985.6</v>
      </c>
      <c r="J34" s="45">
        <f t="shared" ref="J34" si="88">ROUND(K34/1.2,2)</f>
        <v>1652</v>
      </c>
      <c r="K34" s="43">
        <v>1982.4</v>
      </c>
      <c r="L34" s="45">
        <v>2823.25</v>
      </c>
      <c r="M34" s="43">
        <f t="shared" si="82"/>
        <v>3387.9</v>
      </c>
      <c r="N34" s="45">
        <v>3300</v>
      </c>
      <c r="O34" s="43">
        <f>ROUND(N34*1.2,2)</f>
        <v>3960</v>
      </c>
      <c r="P34" s="45">
        <v>2416.6999999999998</v>
      </c>
      <c r="Q34" s="43">
        <f>P34*1.2</f>
        <v>2900.0399999999995</v>
      </c>
      <c r="R34" s="45">
        <v>3116.67</v>
      </c>
      <c r="S34" s="43">
        <f>R34*1.2</f>
        <v>3740.0039999999999</v>
      </c>
      <c r="T34" s="45">
        <f>4500/1.2</f>
        <v>3750</v>
      </c>
      <c r="U34" s="43">
        <f>T34*1.2</f>
        <v>4500</v>
      </c>
      <c r="V34" s="45">
        <f>W34/1.2</f>
        <v>3750</v>
      </c>
      <c r="W34" s="43">
        <f>4500</f>
        <v>4500</v>
      </c>
      <c r="X34" s="45"/>
      <c r="Y34" s="43"/>
      <c r="Z34" s="42"/>
      <c r="AA34" s="43"/>
    </row>
    <row r="35" spans="1:27" x14ac:dyDescent="0.2">
      <c r="B35" s="38"/>
      <c r="L35" s="38"/>
      <c r="M35" s="38"/>
    </row>
    <row r="36" spans="1:27" x14ac:dyDescent="0.2">
      <c r="B36" s="46"/>
      <c r="C36" s="63"/>
      <c r="J36" s="46"/>
      <c r="L36" s="38"/>
      <c r="M36" s="63"/>
      <c r="O36" s="38"/>
    </row>
    <row r="37" spans="1:27" x14ac:dyDescent="0.2">
      <c r="A37" s="47"/>
      <c r="B37" s="47"/>
      <c r="C37" s="47"/>
      <c r="J37" s="47"/>
    </row>
    <row r="38" spans="1:27" x14ac:dyDescent="0.2">
      <c r="A38" s="47"/>
      <c r="B38" s="47"/>
      <c r="D38" s="47"/>
      <c r="J38" s="47"/>
      <c r="O38" s="38"/>
      <c r="S38" s="38"/>
    </row>
    <row r="39" spans="1:27" x14ac:dyDescent="0.2">
      <c r="B39" s="47"/>
      <c r="C39" s="48"/>
      <c r="J39" s="48"/>
      <c r="K39" s="38">
        <f>K32</f>
        <v>3479.42</v>
      </c>
      <c r="M39" s="38"/>
    </row>
    <row r="40" spans="1:27" x14ac:dyDescent="0.2">
      <c r="B40" s="38"/>
      <c r="K40" s="38">
        <f>K39+400</f>
        <v>3879.42</v>
      </c>
    </row>
    <row r="41" spans="1:27" x14ac:dyDescent="0.2">
      <c r="B41" s="48"/>
      <c r="C41" s="48"/>
      <c r="K41" s="38">
        <v>4300</v>
      </c>
    </row>
    <row r="42" spans="1:27" x14ac:dyDescent="0.2">
      <c r="B42" s="38"/>
    </row>
    <row r="43" spans="1:27" x14ac:dyDescent="0.2">
      <c r="B43" s="48"/>
    </row>
    <row r="44" spans="1:27" x14ac:dyDescent="0.2">
      <c r="B44" s="38"/>
    </row>
    <row r="45" spans="1:27" x14ac:dyDescent="0.2">
      <c r="A45" s="48"/>
      <c r="B45" s="48"/>
    </row>
    <row r="47" spans="1:27" x14ac:dyDescent="0.2">
      <c r="A47" s="48"/>
      <c r="B47" s="48"/>
    </row>
    <row r="50" spans="1:2" x14ac:dyDescent="0.2">
      <c r="A50" s="49"/>
      <c r="B50" s="49"/>
    </row>
    <row r="52" spans="1:2" x14ac:dyDescent="0.2">
      <c r="B52" s="38"/>
    </row>
  </sheetData>
  <mergeCells count="36">
    <mergeCell ref="T3:U3"/>
    <mergeCell ref="T4:U4"/>
    <mergeCell ref="T5:U5"/>
    <mergeCell ref="V3:W3"/>
    <mergeCell ref="V4:W4"/>
    <mergeCell ref="V5:W5"/>
    <mergeCell ref="X3:Y3"/>
    <mergeCell ref="X4:Y4"/>
    <mergeCell ref="X5:Y5"/>
    <mergeCell ref="Z3:AA3"/>
    <mergeCell ref="Z4:AA4"/>
    <mergeCell ref="Z5:AA5"/>
    <mergeCell ref="J3:K3"/>
    <mergeCell ref="J4:K4"/>
    <mergeCell ref="J5:K5"/>
    <mergeCell ref="R4:S4"/>
    <mergeCell ref="R5:S5"/>
    <mergeCell ref="N4:O4"/>
    <mergeCell ref="N5:O5"/>
    <mergeCell ref="L3:O3"/>
    <mergeCell ref="A1:AA1"/>
    <mergeCell ref="P4:Q4"/>
    <mergeCell ref="P5:Q5"/>
    <mergeCell ref="P3:S3"/>
    <mergeCell ref="A3:A6"/>
    <mergeCell ref="B4:C4"/>
    <mergeCell ref="B5:C5"/>
    <mergeCell ref="D4:E4"/>
    <mergeCell ref="D5:E5"/>
    <mergeCell ref="B3:I3"/>
    <mergeCell ref="F5:G5"/>
    <mergeCell ref="F4:G4"/>
    <mergeCell ref="H4:I4"/>
    <mergeCell ref="H5:I5"/>
    <mergeCell ref="L4:M4"/>
    <mergeCell ref="L5:M5"/>
  </mergeCells>
  <pageMargins left="0.7" right="0.7" top="0.75" bottom="0.75" header="0.3" footer="0.3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FFF3-7791-4BF0-AB06-2B56040866A9}">
  <sheetPr>
    <pageSetUpPr fitToPage="1"/>
  </sheetPr>
  <dimension ref="A1:AG48"/>
  <sheetViews>
    <sheetView tabSelected="1" view="pageBreakPreview" topLeftCell="A4" zoomScaleNormal="130" zoomScaleSheetLayoutView="100" workbookViewId="0">
      <selection activeCell="C33" sqref="C33"/>
    </sheetView>
  </sheetViews>
  <sheetFormatPr defaultRowHeight="12.75" x14ac:dyDescent="0.2"/>
  <cols>
    <col min="1" max="1" width="11.28515625" style="37" bestFit="1" customWidth="1"/>
    <col min="2" max="2" width="7.5703125" style="37" customWidth="1"/>
    <col min="3" max="11" width="7.5703125" style="38" customWidth="1"/>
    <col min="12" max="29" width="7.5703125" style="37" hidden="1" customWidth="1"/>
    <col min="30" max="31" width="9.140625" style="37"/>
    <col min="32" max="32" width="14" style="63" bestFit="1" customWidth="1"/>
    <col min="33" max="33" width="9.5703125" style="37" bestFit="1" customWidth="1"/>
    <col min="34" max="16384" width="9.140625" style="37"/>
  </cols>
  <sheetData>
    <row r="1" spans="1:32" x14ac:dyDescent="0.2">
      <c r="A1" s="102" t="s">
        <v>66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32" ht="13.5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32" ht="15.75" customHeight="1" thickBot="1" x14ac:dyDescent="0.25">
      <c r="A3" s="90" t="s">
        <v>0</v>
      </c>
      <c r="B3" s="95" t="s">
        <v>27</v>
      </c>
      <c r="C3" s="96"/>
      <c r="D3" s="96"/>
      <c r="E3" s="96"/>
      <c r="F3" s="96"/>
      <c r="G3" s="96"/>
      <c r="H3" s="96"/>
      <c r="I3" s="97"/>
      <c r="J3" s="95" t="s">
        <v>31</v>
      </c>
      <c r="K3" s="97"/>
      <c r="L3" s="87" t="s">
        <v>51</v>
      </c>
      <c r="M3" s="89"/>
      <c r="N3" s="89"/>
      <c r="O3" s="88"/>
      <c r="P3" s="87" t="s">
        <v>54</v>
      </c>
      <c r="Q3" s="89"/>
      <c r="R3" s="89"/>
      <c r="S3" s="88"/>
      <c r="T3" s="87" t="s">
        <v>59</v>
      </c>
      <c r="U3" s="88"/>
      <c r="V3" s="87" t="s">
        <v>61</v>
      </c>
      <c r="W3" s="88"/>
      <c r="X3" s="87" t="s">
        <v>55</v>
      </c>
      <c r="Y3" s="88"/>
      <c r="Z3" s="87" t="s">
        <v>57</v>
      </c>
      <c r="AA3" s="88"/>
      <c r="AB3" s="87" t="s">
        <v>67</v>
      </c>
      <c r="AC3" s="88"/>
    </row>
    <row r="4" spans="1:32" ht="13.5" thickBot="1" x14ac:dyDescent="0.25">
      <c r="A4" s="91"/>
      <c r="B4" s="87" t="s">
        <v>30</v>
      </c>
      <c r="C4" s="88"/>
      <c r="D4" s="87" t="s">
        <v>32</v>
      </c>
      <c r="E4" s="88"/>
      <c r="F4" s="87" t="s">
        <v>33</v>
      </c>
      <c r="G4" s="88"/>
      <c r="H4" s="87" t="s">
        <v>34</v>
      </c>
      <c r="I4" s="88"/>
      <c r="J4" s="87" t="s">
        <v>30</v>
      </c>
      <c r="K4" s="88"/>
      <c r="L4" s="87" t="s">
        <v>30</v>
      </c>
      <c r="M4" s="88"/>
      <c r="N4" s="87" t="s">
        <v>52</v>
      </c>
      <c r="O4" s="88"/>
      <c r="P4" s="87" t="s">
        <v>43</v>
      </c>
      <c r="Q4" s="88"/>
      <c r="R4" s="87" t="s">
        <v>63</v>
      </c>
      <c r="S4" s="88"/>
      <c r="T4" s="87" t="s">
        <v>60</v>
      </c>
      <c r="U4" s="88"/>
      <c r="V4" s="87" t="s">
        <v>43</v>
      </c>
      <c r="W4" s="88"/>
      <c r="X4" s="87" t="s">
        <v>56</v>
      </c>
      <c r="Y4" s="88"/>
      <c r="Z4" s="87" t="s">
        <v>65</v>
      </c>
      <c r="AA4" s="88"/>
      <c r="AB4" s="87" t="s">
        <v>60</v>
      </c>
      <c r="AC4" s="88"/>
    </row>
    <row r="5" spans="1:32" ht="13.5" thickBot="1" x14ac:dyDescent="0.25">
      <c r="A5" s="91"/>
      <c r="B5" s="93" t="s">
        <v>45</v>
      </c>
      <c r="C5" s="94"/>
      <c r="D5" s="87" t="s">
        <v>46</v>
      </c>
      <c r="E5" s="88"/>
      <c r="F5" s="87" t="s">
        <v>47</v>
      </c>
      <c r="G5" s="88"/>
      <c r="H5" s="87" t="s">
        <v>48</v>
      </c>
      <c r="I5" s="88"/>
      <c r="J5" s="87" t="s">
        <v>45</v>
      </c>
      <c r="K5" s="88"/>
      <c r="L5" s="87" t="s">
        <v>45</v>
      </c>
      <c r="M5" s="88"/>
      <c r="N5" s="87" t="s">
        <v>48</v>
      </c>
      <c r="O5" s="88"/>
      <c r="P5" s="87" t="s">
        <v>45</v>
      </c>
      <c r="Q5" s="88"/>
      <c r="R5" s="87" t="s">
        <v>62</v>
      </c>
      <c r="S5" s="88"/>
      <c r="T5" s="87" t="s">
        <v>45</v>
      </c>
      <c r="U5" s="88"/>
      <c r="V5" s="87" t="s">
        <v>45</v>
      </c>
      <c r="W5" s="88"/>
      <c r="X5" s="87" t="s">
        <v>64</v>
      </c>
      <c r="Y5" s="88"/>
      <c r="Z5" s="87" t="s">
        <v>58</v>
      </c>
      <c r="AA5" s="88"/>
      <c r="AB5" s="87" t="s">
        <v>45</v>
      </c>
      <c r="AC5" s="88"/>
    </row>
    <row r="6" spans="1:32" ht="13.5" thickBot="1" x14ac:dyDescent="0.25">
      <c r="A6" s="92"/>
      <c r="B6" s="39" t="s">
        <v>49</v>
      </c>
      <c r="C6" s="40" t="s">
        <v>50</v>
      </c>
      <c r="D6" s="39" t="s">
        <v>49</v>
      </c>
      <c r="E6" s="40" t="s">
        <v>50</v>
      </c>
      <c r="F6" s="39" t="s">
        <v>49</v>
      </c>
      <c r="G6" s="41" t="s">
        <v>50</v>
      </c>
      <c r="H6" s="39" t="s">
        <v>49</v>
      </c>
      <c r="I6" s="40" t="s">
        <v>50</v>
      </c>
      <c r="J6" s="39" t="s">
        <v>49</v>
      </c>
      <c r="K6" s="40" t="s">
        <v>50</v>
      </c>
      <c r="L6" s="39" t="s">
        <v>49</v>
      </c>
      <c r="M6" s="40" t="s">
        <v>50</v>
      </c>
      <c r="N6" s="39" t="s">
        <v>49</v>
      </c>
      <c r="O6" s="40" t="s">
        <v>50</v>
      </c>
      <c r="P6" s="39" t="s">
        <v>49</v>
      </c>
      <c r="Q6" s="40" t="s">
        <v>50</v>
      </c>
      <c r="R6" s="39" t="s">
        <v>49</v>
      </c>
      <c r="S6" s="40" t="s">
        <v>50</v>
      </c>
      <c r="T6" s="39" t="s">
        <v>49</v>
      </c>
      <c r="U6" s="40" t="s">
        <v>50</v>
      </c>
      <c r="V6" s="39" t="s">
        <v>49</v>
      </c>
      <c r="W6" s="40" t="s">
        <v>50</v>
      </c>
      <c r="X6" s="39" t="s">
        <v>49</v>
      </c>
      <c r="Y6" s="40" t="s">
        <v>50</v>
      </c>
      <c r="Z6" s="39" t="s">
        <v>49</v>
      </c>
      <c r="AA6" s="40" t="s">
        <v>50</v>
      </c>
      <c r="AB6" s="39" t="s">
        <v>49</v>
      </c>
      <c r="AC6" s="40" t="s">
        <v>50</v>
      </c>
    </row>
    <row r="7" spans="1:32" s="56" customFormat="1" ht="17.25" customHeight="1" x14ac:dyDescent="0.25">
      <c r="A7" s="50" t="s">
        <v>1</v>
      </c>
      <c r="B7" s="51">
        <v>3645.78</v>
      </c>
      <c r="C7" s="52">
        <f>ROUND(B7*1.22,2)</f>
        <v>4447.8500000000004</v>
      </c>
      <c r="D7" s="51">
        <v>4879.3779999999997</v>
      </c>
      <c r="E7" s="52">
        <f>ROUND(D7*1.22,2)</f>
        <v>5952.84</v>
      </c>
      <c r="F7" s="51">
        <v>3780.78</v>
      </c>
      <c r="G7" s="52">
        <f>ROUND(F7*1.22,2)</f>
        <v>4612.55</v>
      </c>
      <c r="H7" s="51">
        <v>4311.78</v>
      </c>
      <c r="I7" s="52">
        <f>ROUND(H7*1.22,2)</f>
        <v>5260.37</v>
      </c>
      <c r="J7" s="54">
        <v>3389.37</v>
      </c>
      <c r="K7" s="52">
        <f>ROUND(J7*1.22,2)</f>
        <v>4135.03</v>
      </c>
      <c r="L7" s="54"/>
      <c r="M7" s="52"/>
      <c r="N7" s="54"/>
      <c r="O7" s="52"/>
      <c r="P7" s="54"/>
      <c r="Q7" s="55"/>
      <c r="R7" s="54"/>
      <c r="S7" s="55"/>
      <c r="T7" s="54"/>
      <c r="U7" s="55"/>
      <c r="V7" s="54"/>
      <c r="W7" s="55"/>
      <c r="X7" s="54"/>
      <c r="Y7" s="55"/>
      <c r="Z7" s="51"/>
      <c r="AA7" s="55"/>
      <c r="AB7" s="51"/>
      <c r="AC7" s="55"/>
      <c r="AF7" s="64"/>
    </row>
    <row r="8" spans="1:32" s="56" customFormat="1" ht="17.25" customHeight="1" x14ac:dyDescent="0.25">
      <c r="A8" s="57" t="s">
        <v>2</v>
      </c>
      <c r="B8" s="58">
        <v>2698.98</v>
      </c>
      <c r="C8" s="52">
        <f t="shared" ref="C8:E35" si="0">ROUND(B8*1.22,2)</f>
        <v>3292.76</v>
      </c>
      <c r="D8" s="58">
        <v>3932.98</v>
      </c>
      <c r="E8" s="52">
        <f t="shared" si="0"/>
        <v>4798.24</v>
      </c>
      <c r="F8" s="58">
        <v>2833.98</v>
      </c>
      <c r="G8" s="52">
        <f t="shared" ref="G8" si="1">ROUND(F8*1.22,2)</f>
        <v>3457.46</v>
      </c>
      <c r="H8" s="58">
        <v>3364.98</v>
      </c>
      <c r="I8" s="52">
        <f t="shared" ref="I8" si="2">ROUND(H8*1.22,2)</f>
        <v>4105.28</v>
      </c>
      <c r="J8" s="60">
        <v>2715.68</v>
      </c>
      <c r="K8" s="52">
        <f t="shared" ref="K8" si="3">ROUND(J8*1.22,2)</f>
        <v>3313.13</v>
      </c>
      <c r="L8" s="60"/>
      <c r="M8" s="55"/>
      <c r="N8" s="60"/>
      <c r="O8" s="55"/>
      <c r="P8" s="60"/>
      <c r="Q8" s="55"/>
      <c r="R8" s="60"/>
      <c r="S8" s="55"/>
      <c r="T8" s="60"/>
      <c r="U8" s="55"/>
      <c r="V8" s="60"/>
      <c r="W8" s="55"/>
      <c r="X8" s="60"/>
      <c r="Y8" s="55"/>
      <c r="Z8" s="58"/>
      <c r="AA8" s="55"/>
      <c r="AB8" s="58"/>
      <c r="AC8" s="55"/>
      <c r="AD8" s="74"/>
      <c r="AF8" s="64"/>
    </row>
    <row r="9" spans="1:32" s="56" customFormat="1" ht="17.25" customHeight="1" x14ac:dyDescent="0.25">
      <c r="A9" s="57" t="s">
        <v>3</v>
      </c>
      <c r="B9" s="58">
        <v>2709.84</v>
      </c>
      <c r="C9" s="52">
        <f t="shared" si="0"/>
        <v>3306</v>
      </c>
      <c r="D9" s="58">
        <v>3943.84</v>
      </c>
      <c r="E9" s="52">
        <f t="shared" si="0"/>
        <v>4811.4799999999996</v>
      </c>
      <c r="F9" s="58">
        <v>2844.84</v>
      </c>
      <c r="G9" s="52">
        <f t="shared" ref="G9" si="4">ROUND(F9*1.22,2)</f>
        <v>3470.7</v>
      </c>
      <c r="H9" s="58">
        <v>3375.84</v>
      </c>
      <c r="I9" s="52">
        <f t="shared" ref="I9" si="5">ROUND(H9*1.22,2)</f>
        <v>4118.5200000000004</v>
      </c>
      <c r="J9" s="60">
        <v>2715.68</v>
      </c>
      <c r="K9" s="52">
        <f t="shared" ref="K9" si="6">ROUND(J9*1.22,2)</f>
        <v>3313.13</v>
      </c>
      <c r="L9" s="60"/>
      <c r="M9" s="55"/>
      <c r="N9" s="60"/>
      <c r="O9" s="55"/>
      <c r="P9" s="60"/>
      <c r="Q9" s="55"/>
      <c r="R9" s="60"/>
      <c r="S9" s="55"/>
      <c r="T9" s="60"/>
      <c r="U9" s="55"/>
      <c r="V9" s="60"/>
      <c r="W9" s="55"/>
      <c r="X9" s="60"/>
      <c r="Y9" s="55"/>
      <c r="Z9" s="58"/>
      <c r="AA9" s="55"/>
      <c r="AB9" s="58"/>
      <c r="AC9" s="55"/>
      <c r="AF9" s="64"/>
    </row>
    <row r="10" spans="1:32" s="56" customFormat="1" ht="17.25" customHeight="1" x14ac:dyDescent="0.25">
      <c r="A10" s="57" t="s">
        <v>4</v>
      </c>
      <c r="B10" s="58">
        <v>3136.21</v>
      </c>
      <c r="C10" s="52">
        <f t="shared" si="0"/>
        <v>3826.18</v>
      </c>
      <c r="D10" s="58">
        <v>4370.21</v>
      </c>
      <c r="E10" s="52">
        <f t="shared" si="0"/>
        <v>5331.66</v>
      </c>
      <c r="F10" s="58">
        <v>3271.21</v>
      </c>
      <c r="G10" s="52">
        <f t="shared" ref="G10" si="7">ROUND(F10*1.22,2)</f>
        <v>3990.88</v>
      </c>
      <c r="H10" s="58">
        <v>3802.21</v>
      </c>
      <c r="I10" s="52">
        <f t="shared" ref="I10" si="8">ROUND(H10*1.22,2)</f>
        <v>4638.7</v>
      </c>
      <c r="J10" s="60">
        <v>2334.19</v>
      </c>
      <c r="K10" s="52">
        <f t="shared" ref="K10" si="9">ROUND(J10*1.22,2)</f>
        <v>2847.71</v>
      </c>
      <c r="L10" s="60"/>
      <c r="M10" s="55"/>
      <c r="N10" s="60"/>
      <c r="O10" s="55"/>
      <c r="P10" s="60"/>
      <c r="Q10" s="55"/>
      <c r="R10" s="60"/>
      <c r="S10" s="55"/>
      <c r="T10" s="60"/>
      <c r="U10" s="55"/>
      <c r="V10" s="60"/>
      <c r="W10" s="55"/>
      <c r="X10" s="60"/>
      <c r="Y10" s="55"/>
      <c r="Z10" s="58"/>
      <c r="AA10" s="55"/>
      <c r="AB10" s="58"/>
      <c r="AC10" s="55"/>
      <c r="AF10" s="64"/>
    </row>
    <row r="11" spans="1:32" s="56" customFormat="1" ht="17.25" customHeight="1" x14ac:dyDescent="0.25">
      <c r="A11" s="57" t="s">
        <v>5</v>
      </c>
      <c r="B11" s="58">
        <v>2788.11</v>
      </c>
      <c r="C11" s="52">
        <f t="shared" si="0"/>
        <v>3401.49</v>
      </c>
      <c r="D11" s="58">
        <v>4022.11</v>
      </c>
      <c r="E11" s="52">
        <f t="shared" si="0"/>
        <v>4906.97</v>
      </c>
      <c r="F11" s="58">
        <v>2923.11</v>
      </c>
      <c r="G11" s="52">
        <f t="shared" ref="G11" si="10">ROUND(F11*1.22,2)</f>
        <v>3566.19</v>
      </c>
      <c r="H11" s="58">
        <v>3454.11</v>
      </c>
      <c r="I11" s="52">
        <f t="shared" ref="I11" si="11">ROUND(H11*1.22,2)</f>
        <v>4214.01</v>
      </c>
      <c r="J11" s="60">
        <v>2639.16</v>
      </c>
      <c r="K11" s="52">
        <f t="shared" ref="K11" si="12">ROUND(J11*1.22,2)</f>
        <v>3219.78</v>
      </c>
      <c r="L11" s="60"/>
      <c r="M11" s="55"/>
      <c r="N11" s="60"/>
      <c r="O11" s="55"/>
      <c r="P11" s="60"/>
      <c r="Q11" s="55"/>
      <c r="R11" s="60"/>
      <c r="S11" s="55"/>
      <c r="T11" s="60"/>
      <c r="U11" s="55"/>
      <c r="V11" s="60"/>
      <c r="W11" s="55"/>
      <c r="X11" s="60"/>
      <c r="Y11" s="55"/>
      <c r="Z11" s="58"/>
      <c r="AA11" s="55"/>
      <c r="AB11" s="58"/>
      <c r="AC11" s="55"/>
      <c r="AF11" s="64"/>
    </row>
    <row r="12" spans="1:32" s="56" customFormat="1" ht="17.25" customHeight="1" x14ac:dyDescent="0.25">
      <c r="A12" s="57" t="s">
        <v>6</v>
      </c>
      <c r="B12" s="58">
        <v>3245.67</v>
      </c>
      <c r="C12" s="52">
        <f t="shared" si="0"/>
        <v>3959.72</v>
      </c>
      <c r="D12" s="58">
        <v>4479.67</v>
      </c>
      <c r="E12" s="52">
        <f t="shared" si="0"/>
        <v>5465.2</v>
      </c>
      <c r="F12" s="58">
        <v>3380.67</v>
      </c>
      <c r="G12" s="52">
        <f t="shared" ref="G12" si="13">ROUND(F12*1.22,2)</f>
        <v>4124.42</v>
      </c>
      <c r="H12" s="58">
        <v>3911.67</v>
      </c>
      <c r="I12" s="52">
        <f t="shared" ref="I12" si="14">ROUND(H12*1.22,2)</f>
        <v>4772.24</v>
      </c>
      <c r="J12" s="60">
        <v>2992.2</v>
      </c>
      <c r="K12" s="52">
        <f t="shared" ref="K12" si="15">ROUND(J12*1.22,2)</f>
        <v>3650.48</v>
      </c>
      <c r="L12" s="60"/>
      <c r="M12" s="55"/>
      <c r="N12" s="60"/>
      <c r="O12" s="55"/>
      <c r="P12" s="60"/>
      <c r="Q12" s="55"/>
      <c r="R12" s="60"/>
      <c r="S12" s="55"/>
      <c r="T12" s="60"/>
      <c r="U12" s="55"/>
      <c r="V12" s="60"/>
      <c r="W12" s="55"/>
      <c r="X12" s="60"/>
      <c r="Y12" s="55"/>
      <c r="Z12" s="58"/>
      <c r="AA12" s="55"/>
      <c r="AB12" s="58"/>
      <c r="AC12" s="55"/>
      <c r="AF12" s="64"/>
    </row>
    <row r="13" spans="1:32" s="56" customFormat="1" ht="17.25" customHeight="1" x14ac:dyDescent="0.25">
      <c r="A13" s="57" t="s">
        <v>7</v>
      </c>
      <c r="B13" s="58">
        <v>3245.67</v>
      </c>
      <c r="C13" s="52">
        <f t="shared" si="0"/>
        <v>3959.72</v>
      </c>
      <c r="D13" s="58">
        <v>4479.67</v>
      </c>
      <c r="E13" s="52">
        <f t="shared" si="0"/>
        <v>5465.2</v>
      </c>
      <c r="F13" s="58">
        <v>3380.67</v>
      </c>
      <c r="G13" s="52">
        <f t="shared" ref="G13" si="16">ROUND(F13*1.22,2)</f>
        <v>4124.42</v>
      </c>
      <c r="H13" s="58">
        <v>3911.67</v>
      </c>
      <c r="I13" s="52">
        <f t="shared" ref="I13" si="17">ROUND(H13*1.22,2)</f>
        <v>4772.24</v>
      </c>
      <c r="J13" s="60">
        <v>2511.69</v>
      </c>
      <c r="K13" s="52">
        <f t="shared" ref="K13" si="18">ROUND(J13*1.22,2)</f>
        <v>3064.26</v>
      </c>
      <c r="L13" s="60"/>
      <c r="M13" s="55"/>
      <c r="N13" s="60"/>
      <c r="O13" s="55"/>
      <c r="P13" s="60"/>
      <c r="Q13" s="55"/>
      <c r="R13" s="60"/>
      <c r="S13" s="55"/>
      <c r="T13" s="60"/>
      <c r="U13" s="55"/>
      <c r="V13" s="60"/>
      <c r="W13" s="55"/>
      <c r="X13" s="60"/>
      <c r="Y13" s="55"/>
      <c r="Z13" s="58"/>
      <c r="AA13" s="55"/>
      <c r="AB13" s="58"/>
      <c r="AC13" s="55"/>
      <c r="AF13" s="64"/>
    </row>
    <row r="14" spans="1:32" s="56" customFormat="1" ht="17.25" customHeight="1" x14ac:dyDescent="0.25">
      <c r="A14" s="57" t="s">
        <v>8</v>
      </c>
      <c r="B14" s="58">
        <v>3282.89</v>
      </c>
      <c r="C14" s="52">
        <f t="shared" si="0"/>
        <v>4005.13</v>
      </c>
      <c r="D14" s="58">
        <v>4516.8900000000003</v>
      </c>
      <c r="E14" s="52">
        <f t="shared" si="0"/>
        <v>5510.61</v>
      </c>
      <c r="F14" s="58">
        <v>3417.89</v>
      </c>
      <c r="G14" s="52">
        <f t="shared" ref="G14" si="19">ROUND(F14*1.22,2)</f>
        <v>4169.83</v>
      </c>
      <c r="H14" s="58">
        <v>3948.89</v>
      </c>
      <c r="I14" s="52">
        <f t="shared" ref="I14" si="20">ROUND(H14*1.22,2)</f>
        <v>4817.6499999999996</v>
      </c>
      <c r="J14" s="60">
        <v>3017.87</v>
      </c>
      <c r="K14" s="52">
        <f t="shared" ref="K14" si="21">ROUND(J14*1.22,2)</f>
        <v>3681.8</v>
      </c>
      <c r="L14" s="60"/>
      <c r="M14" s="55"/>
      <c r="N14" s="60"/>
      <c r="O14" s="55"/>
      <c r="P14" s="60"/>
      <c r="Q14" s="55"/>
      <c r="R14" s="60"/>
      <c r="S14" s="55"/>
      <c r="T14" s="60"/>
      <c r="U14" s="55"/>
      <c r="V14" s="60"/>
      <c r="W14" s="55"/>
      <c r="X14" s="60"/>
      <c r="Y14" s="55"/>
      <c r="Z14" s="58"/>
      <c r="AA14" s="55"/>
      <c r="AB14" s="58"/>
      <c r="AC14" s="55"/>
      <c r="AF14" s="64"/>
    </row>
    <row r="15" spans="1:32" s="56" customFormat="1" ht="17.25" customHeight="1" x14ac:dyDescent="0.25">
      <c r="A15" s="57" t="s">
        <v>9</v>
      </c>
      <c r="B15" s="58">
        <v>2559.6999999999998</v>
      </c>
      <c r="C15" s="52">
        <f t="shared" si="0"/>
        <v>3122.83</v>
      </c>
      <c r="D15" s="58">
        <v>3793.7</v>
      </c>
      <c r="E15" s="52">
        <f t="shared" si="0"/>
        <v>4628.3100000000004</v>
      </c>
      <c r="F15" s="58">
        <v>2694.7</v>
      </c>
      <c r="G15" s="52">
        <f t="shared" ref="G15" si="22">ROUND(F15*1.22,2)</f>
        <v>3287.53</v>
      </c>
      <c r="H15" s="58">
        <v>3225.7</v>
      </c>
      <c r="I15" s="52">
        <f t="shared" ref="I15" si="23">ROUND(H15*1.22,2)</f>
        <v>3935.35</v>
      </c>
      <c r="J15" s="60">
        <v>2678.79</v>
      </c>
      <c r="K15" s="52">
        <f t="shared" ref="K15" si="24">ROUND(J15*1.22,2)</f>
        <v>3268.12</v>
      </c>
      <c r="L15" s="60"/>
      <c r="M15" s="55"/>
      <c r="N15" s="60"/>
      <c r="O15" s="55"/>
      <c r="P15" s="60"/>
      <c r="Q15" s="55"/>
      <c r="R15" s="60"/>
      <c r="S15" s="55"/>
      <c r="T15" s="60"/>
      <c r="U15" s="55"/>
      <c r="V15" s="60"/>
      <c r="W15" s="55"/>
      <c r="X15" s="60"/>
      <c r="Y15" s="55"/>
      <c r="Z15" s="58"/>
      <c r="AA15" s="55"/>
      <c r="AB15" s="58"/>
      <c r="AC15" s="55"/>
      <c r="AF15" s="64"/>
    </row>
    <row r="16" spans="1:32" s="56" customFormat="1" ht="17.25" customHeight="1" x14ac:dyDescent="0.25">
      <c r="A16" s="57" t="s">
        <v>10</v>
      </c>
      <c r="B16" s="58">
        <v>2822.73</v>
      </c>
      <c r="C16" s="52">
        <f t="shared" si="0"/>
        <v>3443.73</v>
      </c>
      <c r="D16" s="58">
        <v>4056.73</v>
      </c>
      <c r="E16" s="52">
        <f t="shared" si="0"/>
        <v>4949.21</v>
      </c>
      <c r="F16" s="58">
        <v>2957.73</v>
      </c>
      <c r="G16" s="52">
        <f t="shared" ref="G16" si="25">ROUND(F16*1.22,2)</f>
        <v>3608.43</v>
      </c>
      <c r="H16" s="58">
        <v>3488.73</v>
      </c>
      <c r="I16" s="52">
        <f t="shared" ref="I16" si="26">ROUND(H16*1.22,2)</f>
        <v>4256.25</v>
      </c>
      <c r="J16" s="60">
        <v>2609.8000000000002</v>
      </c>
      <c r="K16" s="52">
        <f t="shared" ref="K16" si="27">ROUND(J16*1.22,2)</f>
        <v>3183.96</v>
      </c>
      <c r="L16" s="60"/>
      <c r="M16" s="55"/>
      <c r="N16" s="60"/>
      <c r="O16" s="55"/>
      <c r="P16" s="60"/>
      <c r="Q16" s="55"/>
      <c r="R16" s="60"/>
      <c r="S16" s="55"/>
      <c r="T16" s="60"/>
      <c r="U16" s="55"/>
      <c r="V16" s="60"/>
      <c r="W16" s="55"/>
      <c r="X16" s="60"/>
      <c r="Y16" s="55"/>
      <c r="Z16" s="58"/>
      <c r="AA16" s="55"/>
      <c r="AB16" s="58"/>
      <c r="AC16" s="55"/>
      <c r="AF16" s="64"/>
    </row>
    <row r="17" spans="1:33" s="56" customFormat="1" ht="17.25" customHeight="1" x14ac:dyDescent="0.25">
      <c r="A17" s="57" t="s">
        <v>11</v>
      </c>
      <c r="B17" s="58">
        <v>3428.51</v>
      </c>
      <c r="C17" s="52">
        <f t="shared" si="0"/>
        <v>4182.78</v>
      </c>
      <c r="D17" s="58">
        <v>4662.51</v>
      </c>
      <c r="E17" s="52">
        <f t="shared" si="0"/>
        <v>5688.26</v>
      </c>
      <c r="F17" s="58">
        <v>3563.51</v>
      </c>
      <c r="G17" s="52">
        <f t="shared" ref="G17" si="28">ROUND(F17*1.22,2)</f>
        <v>4347.4799999999996</v>
      </c>
      <c r="H17" s="58">
        <v>4094.51</v>
      </c>
      <c r="I17" s="52">
        <f t="shared" ref="I17" si="29">ROUND(H17*1.22,2)</f>
        <v>4995.3</v>
      </c>
      <c r="J17" s="60">
        <v>3183.33</v>
      </c>
      <c r="K17" s="52">
        <f t="shared" ref="K17" si="30">ROUND(J17*1.22,2)</f>
        <v>3883.66</v>
      </c>
      <c r="L17" s="60"/>
      <c r="M17" s="55"/>
      <c r="N17" s="60"/>
      <c r="O17" s="55"/>
      <c r="P17" s="60"/>
      <c r="Q17" s="55"/>
      <c r="R17" s="60"/>
      <c r="S17" s="55"/>
      <c r="T17" s="60"/>
      <c r="U17" s="55"/>
      <c r="V17" s="60"/>
      <c r="W17" s="55"/>
      <c r="X17" s="60"/>
      <c r="Y17" s="55"/>
      <c r="Z17" s="58"/>
      <c r="AA17" s="55"/>
      <c r="AB17" s="58"/>
      <c r="AC17" s="55"/>
      <c r="AF17" s="64"/>
    </row>
    <row r="18" spans="1:33" s="56" customFormat="1" ht="17.25" customHeight="1" x14ac:dyDescent="0.25">
      <c r="A18" s="57" t="s">
        <v>68</v>
      </c>
      <c r="B18" s="58">
        <v>2605.34</v>
      </c>
      <c r="C18" s="52">
        <f t="shared" si="0"/>
        <v>3178.51</v>
      </c>
      <c r="D18" s="58">
        <v>3839.34</v>
      </c>
      <c r="E18" s="52">
        <f t="shared" si="0"/>
        <v>4683.99</v>
      </c>
      <c r="F18" s="58">
        <v>2740.34</v>
      </c>
      <c r="G18" s="52">
        <f t="shared" ref="G18" si="31">ROUND(F18*1.22,2)</f>
        <v>3343.21</v>
      </c>
      <c r="H18" s="58">
        <v>3271.34</v>
      </c>
      <c r="I18" s="52">
        <f t="shared" ref="I18" si="32">ROUND(H18*1.22,2)</f>
        <v>3991.03</v>
      </c>
      <c r="J18" s="60">
        <v>0</v>
      </c>
      <c r="K18" s="52">
        <f t="shared" ref="K18" si="33">ROUND(J18*1.22,2)</f>
        <v>0</v>
      </c>
      <c r="L18" s="60"/>
      <c r="M18" s="55"/>
      <c r="N18" s="60"/>
      <c r="O18" s="55"/>
      <c r="P18" s="60"/>
      <c r="Q18" s="55"/>
      <c r="R18" s="60"/>
      <c r="S18" s="55"/>
      <c r="T18" s="60"/>
      <c r="U18" s="55"/>
      <c r="V18" s="60"/>
      <c r="W18" s="55"/>
      <c r="X18" s="60"/>
      <c r="Y18" s="55"/>
      <c r="Z18" s="58"/>
      <c r="AA18" s="55"/>
      <c r="AB18" s="58"/>
      <c r="AC18" s="55"/>
      <c r="AF18" s="64"/>
    </row>
    <row r="19" spans="1:33" s="56" customFormat="1" ht="17.25" customHeight="1" x14ac:dyDescent="0.25">
      <c r="A19" s="57" t="s">
        <v>12</v>
      </c>
      <c r="B19" s="58">
        <v>2766.52</v>
      </c>
      <c r="C19" s="52">
        <f t="shared" si="0"/>
        <v>3375.15</v>
      </c>
      <c r="D19" s="58">
        <v>4000.52</v>
      </c>
      <c r="E19" s="52">
        <f t="shared" si="0"/>
        <v>4880.63</v>
      </c>
      <c r="F19" s="58">
        <v>2901.52</v>
      </c>
      <c r="G19" s="52">
        <f t="shared" ref="G19" si="34">ROUND(F19*1.22,2)</f>
        <v>3539.85</v>
      </c>
      <c r="H19" s="58">
        <v>3432.52</v>
      </c>
      <c r="I19" s="52">
        <f t="shared" ref="I19" si="35">ROUND(H19*1.22,2)</f>
        <v>4187.67</v>
      </c>
      <c r="J19" s="60">
        <v>2656.48</v>
      </c>
      <c r="K19" s="52">
        <f t="shared" ref="K19" si="36">ROUND(J19*1.22,2)</f>
        <v>3240.91</v>
      </c>
      <c r="L19" s="60"/>
      <c r="M19" s="55"/>
      <c r="N19" s="60"/>
      <c r="O19" s="55"/>
      <c r="P19" s="60"/>
      <c r="Q19" s="55"/>
      <c r="R19" s="60"/>
      <c r="S19" s="55"/>
      <c r="T19" s="60"/>
      <c r="U19" s="55"/>
      <c r="V19" s="60"/>
      <c r="W19" s="55"/>
      <c r="X19" s="60"/>
      <c r="Y19" s="55"/>
      <c r="Z19" s="58"/>
      <c r="AA19" s="55"/>
      <c r="AB19" s="58"/>
      <c r="AC19" s="55"/>
      <c r="AF19" s="64"/>
    </row>
    <row r="20" spans="1:33" s="56" customFormat="1" ht="17.25" customHeight="1" x14ac:dyDescent="0.25">
      <c r="A20" s="61" t="s">
        <v>13</v>
      </c>
      <c r="B20" s="58">
        <v>2919.37</v>
      </c>
      <c r="C20" s="52">
        <f t="shared" si="0"/>
        <v>3561.63</v>
      </c>
      <c r="D20" s="58">
        <v>4153.37</v>
      </c>
      <c r="E20" s="52">
        <f t="shared" si="0"/>
        <v>5067.1099999999997</v>
      </c>
      <c r="F20" s="58">
        <v>3054.37</v>
      </c>
      <c r="G20" s="52">
        <f t="shared" ref="G20" si="37">ROUND(F20*1.22,2)</f>
        <v>3726.33</v>
      </c>
      <c r="H20" s="58">
        <v>3585.37</v>
      </c>
      <c r="I20" s="52">
        <f t="shared" ref="I20" si="38">ROUND(H20*1.22,2)</f>
        <v>4374.1499999999996</v>
      </c>
      <c r="J20" s="60">
        <v>2511.69</v>
      </c>
      <c r="K20" s="52">
        <f t="shared" ref="K20" si="39">ROUND(J20*1.22,2)</f>
        <v>3064.26</v>
      </c>
      <c r="L20" s="60"/>
      <c r="M20" s="55"/>
      <c r="N20" s="60"/>
      <c r="O20" s="55"/>
      <c r="P20" s="60"/>
      <c r="Q20" s="55"/>
      <c r="R20" s="60"/>
      <c r="S20" s="55"/>
      <c r="T20" s="60"/>
      <c r="U20" s="55"/>
      <c r="V20" s="60"/>
      <c r="W20" s="55"/>
      <c r="X20" s="60"/>
      <c r="Y20" s="55"/>
      <c r="Z20" s="58"/>
      <c r="AA20" s="55"/>
      <c r="AB20" s="58"/>
      <c r="AC20" s="55"/>
      <c r="AF20" s="64"/>
    </row>
    <row r="21" spans="1:33" s="56" customFormat="1" ht="17.25" customHeight="1" x14ac:dyDescent="0.25">
      <c r="A21" s="61" t="s">
        <v>14</v>
      </c>
      <c r="B21" s="58">
        <v>3521.62</v>
      </c>
      <c r="C21" s="52">
        <f t="shared" si="0"/>
        <v>4296.38</v>
      </c>
      <c r="D21" s="58">
        <v>4755.62</v>
      </c>
      <c r="E21" s="52">
        <f t="shared" si="0"/>
        <v>5801.86</v>
      </c>
      <c r="F21" s="58">
        <v>3656.62</v>
      </c>
      <c r="G21" s="52">
        <f t="shared" ref="G21" si="40">ROUND(F21*1.22,2)</f>
        <v>4461.08</v>
      </c>
      <c r="H21" s="58">
        <v>4187.62</v>
      </c>
      <c r="I21" s="52">
        <f t="shared" ref="I21" si="41">ROUND(H21*1.22,2)</f>
        <v>5108.8999999999996</v>
      </c>
      <c r="J21" s="60">
        <v>3270.66</v>
      </c>
      <c r="K21" s="52">
        <f t="shared" ref="K21" si="42">ROUND(J21*1.22,2)</f>
        <v>3990.21</v>
      </c>
      <c r="L21" s="60"/>
      <c r="M21" s="55"/>
      <c r="N21" s="60"/>
      <c r="O21" s="55"/>
      <c r="P21" s="60"/>
      <c r="Q21" s="55"/>
      <c r="R21" s="60"/>
      <c r="S21" s="55"/>
      <c r="T21" s="60"/>
      <c r="U21" s="55"/>
      <c r="V21" s="60"/>
      <c r="W21" s="55"/>
      <c r="X21" s="60"/>
      <c r="Y21" s="55"/>
      <c r="Z21" s="58"/>
      <c r="AA21" s="55"/>
      <c r="AB21" s="58"/>
      <c r="AC21" s="55"/>
      <c r="AF21" s="64"/>
    </row>
    <row r="22" spans="1:33" s="56" customFormat="1" ht="17.25" customHeight="1" x14ac:dyDescent="0.25">
      <c r="A22" s="61" t="s">
        <v>15</v>
      </c>
      <c r="B22" s="58">
        <v>3071.73</v>
      </c>
      <c r="C22" s="52">
        <f t="shared" si="0"/>
        <v>3747.51</v>
      </c>
      <c r="D22" s="58">
        <v>4305.7299999999996</v>
      </c>
      <c r="E22" s="52">
        <f t="shared" si="0"/>
        <v>5252.99</v>
      </c>
      <c r="F22" s="58">
        <v>3206.73</v>
      </c>
      <c r="G22" s="52">
        <f t="shared" ref="G22" si="43">ROUND(F22*1.22,2)</f>
        <v>3912.21</v>
      </c>
      <c r="H22" s="58">
        <v>3737.73</v>
      </c>
      <c r="I22" s="52">
        <f t="shared" ref="I22" si="44">ROUND(H22*1.22,2)</f>
        <v>4560.03</v>
      </c>
      <c r="J22" s="60">
        <v>2849.75</v>
      </c>
      <c r="K22" s="52">
        <f t="shared" ref="K22" si="45">ROUND(J22*1.22,2)</f>
        <v>3476.7</v>
      </c>
      <c r="L22" s="60"/>
      <c r="M22" s="55"/>
      <c r="N22" s="60"/>
      <c r="O22" s="55"/>
      <c r="P22" s="60"/>
      <c r="Q22" s="55"/>
      <c r="R22" s="60"/>
      <c r="S22" s="55"/>
      <c r="T22" s="60"/>
      <c r="U22" s="55"/>
      <c r="V22" s="60"/>
      <c r="W22" s="55"/>
      <c r="X22" s="60"/>
      <c r="Y22" s="55"/>
      <c r="Z22" s="58"/>
      <c r="AA22" s="55"/>
      <c r="AB22" s="58"/>
      <c r="AC22" s="55"/>
      <c r="AF22" s="64"/>
    </row>
    <row r="23" spans="1:33" s="56" customFormat="1" ht="17.25" customHeight="1" x14ac:dyDescent="0.25">
      <c r="A23" s="61" t="s">
        <v>16</v>
      </c>
      <c r="B23" s="58">
        <v>2760.53</v>
      </c>
      <c r="C23" s="52">
        <f t="shared" si="0"/>
        <v>3367.85</v>
      </c>
      <c r="D23" s="58">
        <v>3994.53</v>
      </c>
      <c r="E23" s="52">
        <f t="shared" si="0"/>
        <v>4873.33</v>
      </c>
      <c r="F23" s="58">
        <v>2895.53</v>
      </c>
      <c r="G23" s="52">
        <f t="shared" ref="G23" si="46">ROUND(F23*1.22,2)</f>
        <v>3532.55</v>
      </c>
      <c r="H23" s="58">
        <v>3426.53</v>
      </c>
      <c r="I23" s="52">
        <f t="shared" ref="I23" si="47">ROUND(H23*1.22,2)</f>
        <v>4180.37</v>
      </c>
      <c r="J23" s="60">
        <v>2667.47</v>
      </c>
      <c r="K23" s="52">
        <f t="shared" ref="K23" si="48">ROUND(J23*1.22,2)</f>
        <v>3254.31</v>
      </c>
      <c r="L23" s="60"/>
      <c r="M23" s="55"/>
      <c r="N23" s="60"/>
      <c r="O23" s="55"/>
      <c r="P23" s="60"/>
      <c r="Q23" s="55"/>
      <c r="R23" s="60"/>
      <c r="S23" s="55"/>
      <c r="T23" s="60"/>
      <c r="U23" s="55"/>
      <c r="V23" s="60"/>
      <c r="W23" s="55"/>
      <c r="X23" s="60"/>
      <c r="Y23" s="55"/>
      <c r="Z23" s="58"/>
      <c r="AA23" s="55"/>
      <c r="AB23" s="58"/>
      <c r="AC23" s="55"/>
      <c r="AF23" s="64"/>
    </row>
    <row r="24" spans="1:33" s="56" customFormat="1" ht="17.25" customHeight="1" x14ac:dyDescent="0.25">
      <c r="A24" s="57" t="s">
        <v>17</v>
      </c>
      <c r="B24" s="58">
        <v>2998.16</v>
      </c>
      <c r="C24" s="52">
        <f t="shared" si="0"/>
        <v>3657.76</v>
      </c>
      <c r="D24" s="58">
        <v>4232.6000000000004</v>
      </c>
      <c r="E24" s="52">
        <f t="shared" si="0"/>
        <v>5163.7700000000004</v>
      </c>
      <c r="F24" s="58">
        <v>3133.16</v>
      </c>
      <c r="G24" s="52">
        <f t="shared" ref="G24" si="49">ROUND(F24*1.22,2)</f>
        <v>3822.46</v>
      </c>
      <c r="H24" s="58">
        <v>3664.16</v>
      </c>
      <c r="I24" s="52">
        <f t="shared" ref="I24" si="50">ROUND(H24*1.22,2)</f>
        <v>4470.28</v>
      </c>
      <c r="J24" s="60">
        <v>2407.59</v>
      </c>
      <c r="K24" s="52">
        <f t="shared" ref="K24" si="51">ROUND(J24*1.22,2)</f>
        <v>2937.26</v>
      </c>
      <c r="L24" s="60"/>
      <c r="M24" s="55"/>
      <c r="N24" s="60"/>
      <c r="O24" s="55"/>
      <c r="P24" s="60"/>
      <c r="Q24" s="55"/>
      <c r="R24" s="60"/>
      <c r="S24" s="55"/>
      <c r="T24" s="60"/>
      <c r="U24" s="55"/>
      <c r="V24" s="60"/>
      <c r="W24" s="55"/>
      <c r="X24" s="60"/>
      <c r="Y24" s="55"/>
      <c r="Z24" s="58"/>
      <c r="AA24" s="55"/>
      <c r="AB24" s="58"/>
      <c r="AC24" s="55"/>
      <c r="AF24" s="64"/>
    </row>
    <row r="25" spans="1:33" s="56" customFormat="1" ht="17.25" customHeight="1" x14ac:dyDescent="0.25">
      <c r="A25" s="57" t="s">
        <v>18</v>
      </c>
      <c r="B25" s="58">
        <v>3399.56</v>
      </c>
      <c r="C25" s="52">
        <f t="shared" si="0"/>
        <v>4147.46</v>
      </c>
      <c r="D25" s="58">
        <v>4633.5600000000004</v>
      </c>
      <c r="E25" s="52">
        <f t="shared" si="0"/>
        <v>5652.94</v>
      </c>
      <c r="F25" s="58">
        <v>3534.56</v>
      </c>
      <c r="G25" s="52">
        <f t="shared" ref="G25" si="52">ROUND(F25*1.22,2)</f>
        <v>4312.16</v>
      </c>
      <c r="H25" s="58">
        <v>4065.56</v>
      </c>
      <c r="I25" s="52">
        <f t="shared" ref="I25" si="53">ROUND(H25*1.22,2)</f>
        <v>4959.9799999999996</v>
      </c>
      <c r="J25" s="60">
        <v>2667.47</v>
      </c>
      <c r="K25" s="52">
        <f t="shared" ref="K25" si="54">ROUND(J25*1.22,2)</f>
        <v>3254.31</v>
      </c>
      <c r="L25" s="60"/>
      <c r="M25" s="55"/>
      <c r="N25" s="60"/>
      <c r="O25" s="55"/>
      <c r="P25" s="60"/>
      <c r="Q25" s="55"/>
      <c r="R25" s="60"/>
      <c r="S25" s="55"/>
      <c r="T25" s="60"/>
      <c r="U25" s="55"/>
      <c r="V25" s="60"/>
      <c r="W25" s="55"/>
      <c r="X25" s="60"/>
      <c r="Y25" s="55"/>
      <c r="Z25" s="58"/>
      <c r="AA25" s="55"/>
      <c r="AB25" s="58"/>
      <c r="AC25" s="55"/>
      <c r="AF25" s="64"/>
    </row>
    <row r="26" spans="1:33" s="56" customFormat="1" ht="17.25" customHeight="1" x14ac:dyDescent="0.25">
      <c r="A26" s="57" t="s">
        <v>28</v>
      </c>
      <c r="B26" s="58">
        <v>3071.99</v>
      </c>
      <c r="C26" s="52">
        <f t="shared" si="0"/>
        <v>3747.83</v>
      </c>
      <c r="D26" s="58">
        <v>4305.99</v>
      </c>
      <c r="E26" s="52">
        <f t="shared" si="0"/>
        <v>5253.31</v>
      </c>
      <c r="F26" s="58">
        <v>3206.99</v>
      </c>
      <c r="G26" s="52">
        <f t="shared" ref="G26" si="55">ROUND(F26*1.22,2)</f>
        <v>3912.53</v>
      </c>
      <c r="H26" s="58">
        <v>3737.99</v>
      </c>
      <c r="I26" s="52">
        <f t="shared" ref="I26" si="56">ROUND(H26*1.22,2)</f>
        <v>4560.3500000000004</v>
      </c>
      <c r="J26" s="60">
        <v>2821.9</v>
      </c>
      <c r="K26" s="52">
        <f t="shared" ref="K26" si="57">ROUND(J26*1.22,2)</f>
        <v>3442.72</v>
      </c>
      <c r="L26" s="60"/>
      <c r="M26" s="55"/>
      <c r="N26" s="60"/>
      <c r="O26" s="55"/>
      <c r="P26" s="60"/>
      <c r="Q26" s="55"/>
      <c r="R26" s="60"/>
      <c r="S26" s="55"/>
      <c r="T26" s="60"/>
      <c r="U26" s="55"/>
      <c r="V26" s="60"/>
      <c r="W26" s="55"/>
      <c r="X26" s="60"/>
      <c r="Y26" s="55"/>
      <c r="Z26" s="58"/>
      <c r="AA26" s="55"/>
      <c r="AB26" s="58"/>
      <c r="AC26" s="55"/>
      <c r="AF26" s="64"/>
    </row>
    <row r="27" spans="1:33" s="56" customFormat="1" ht="17.25" customHeight="1" x14ac:dyDescent="0.25">
      <c r="A27" s="57" t="s">
        <v>19</v>
      </c>
      <c r="B27" s="58">
        <v>3384.22</v>
      </c>
      <c r="C27" s="52">
        <f t="shared" si="0"/>
        <v>4128.75</v>
      </c>
      <c r="D27" s="58">
        <v>4618.22</v>
      </c>
      <c r="E27" s="52">
        <f t="shared" si="0"/>
        <v>5634.23</v>
      </c>
      <c r="F27" s="58">
        <v>3519.22</v>
      </c>
      <c r="G27" s="52">
        <f t="shared" ref="G27" si="58">ROUND(F27*1.22,2)</f>
        <v>4293.45</v>
      </c>
      <c r="H27" s="58">
        <v>4050.22</v>
      </c>
      <c r="I27" s="52">
        <f t="shared" ref="I27" si="59">ROUND(H27*1.22,2)</f>
        <v>4941.2700000000004</v>
      </c>
      <c r="J27" s="60">
        <v>3133.62</v>
      </c>
      <c r="K27" s="52">
        <f t="shared" ref="K27" si="60">ROUND(J27*1.22,2)</f>
        <v>3823.02</v>
      </c>
      <c r="L27" s="60"/>
      <c r="M27" s="55"/>
      <c r="N27" s="60"/>
      <c r="O27" s="55"/>
      <c r="P27" s="60"/>
      <c r="Q27" s="55"/>
      <c r="R27" s="60"/>
      <c r="S27" s="55"/>
      <c r="T27" s="60"/>
      <c r="U27" s="55"/>
      <c r="V27" s="60"/>
      <c r="W27" s="55"/>
      <c r="X27" s="60"/>
      <c r="Y27" s="55"/>
      <c r="Z27" s="58"/>
      <c r="AA27" s="55"/>
      <c r="AB27" s="58"/>
      <c r="AC27" s="55"/>
      <c r="AF27" s="64"/>
    </row>
    <row r="28" spans="1:33" s="56" customFormat="1" ht="17.25" customHeight="1" x14ac:dyDescent="0.25">
      <c r="A28" s="57" t="s">
        <v>20</v>
      </c>
      <c r="B28" s="58">
        <v>2966.06</v>
      </c>
      <c r="C28" s="52">
        <f t="shared" si="0"/>
        <v>3618.59</v>
      </c>
      <c r="D28" s="58">
        <v>4200.0600000000004</v>
      </c>
      <c r="E28" s="52">
        <f t="shared" si="0"/>
        <v>5124.07</v>
      </c>
      <c r="F28" s="58">
        <v>3101.06</v>
      </c>
      <c r="G28" s="52">
        <f t="shared" ref="G28" si="61">ROUND(F28*1.22,2)</f>
        <v>3783.29</v>
      </c>
      <c r="H28" s="58">
        <v>3632.06</v>
      </c>
      <c r="I28" s="52">
        <f t="shared" ref="I28" si="62">ROUND(H28*1.22,2)</f>
        <v>4431.1099999999997</v>
      </c>
      <c r="J28" s="60">
        <v>2752.37</v>
      </c>
      <c r="K28" s="52">
        <f t="shared" ref="K28" si="63">ROUND(J28*1.22,2)</f>
        <v>3357.89</v>
      </c>
      <c r="L28" s="60"/>
      <c r="M28" s="55"/>
      <c r="N28" s="60"/>
      <c r="O28" s="55"/>
      <c r="P28" s="60"/>
      <c r="Q28" s="55"/>
      <c r="R28" s="60"/>
      <c r="S28" s="55"/>
      <c r="T28" s="60"/>
      <c r="U28" s="55"/>
      <c r="V28" s="60"/>
      <c r="W28" s="55"/>
      <c r="X28" s="60"/>
      <c r="Y28" s="55"/>
      <c r="Z28" s="58"/>
      <c r="AA28" s="55"/>
      <c r="AB28" s="58"/>
      <c r="AC28" s="55"/>
      <c r="AF28" s="64"/>
    </row>
    <row r="29" spans="1:33" s="56" customFormat="1" ht="17.25" customHeight="1" x14ac:dyDescent="0.25">
      <c r="A29" s="57" t="s">
        <v>21</v>
      </c>
      <c r="B29" s="58">
        <v>3171.57</v>
      </c>
      <c r="C29" s="52">
        <f t="shared" si="0"/>
        <v>3869.32</v>
      </c>
      <c r="D29" s="58">
        <v>4405.57</v>
      </c>
      <c r="E29" s="52">
        <f t="shared" si="0"/>
        <v>5374.8</v>
      </c>
      <c r="F29" s="58">
        <v>3306.57</v>
      </c>
      <c r="G29" s="52">
        <f t="shared" ref="G29" si="64">ROUND(F29*1.22,2)</f>
        <v>4034.02</v>
      </c>
      <c r="H29" s="58">
        <v>3837.57</v>
      </c>
      <c r="I29" s="52">
        <f t="shared" ref="I29" si="65">ROUND(H29*1.22,2)</f>
        <v>4681.84</v>
      </c>
      <c r="J29" s="60">
        <v>2930.22</v>
      </c>
      <c r="K29" s="52">
        <f t="shared" ref="K29" si="66">ROUND(J29*1.22,2)</f>
        <v>3574.87</v>
      </c>
      <c r="L29" s="60"/>
      <c r="M29" s="55"/>
      <c r="N29" s="60"/>
      <c r="O29" s="55"/>
      <c r="P29" s="60"/>
      <c r="Q29" s="55"/>
      <c r="R29" s="60"/>
      <c r="S29" s="55"/>
      <c r="T29" s="60"/>
      <c r="U29" s="55"/>
      <c r="V29" s="60"/>
      <c r="W29" s="55"/>
      <c r="X29" s="60"/>
      <c r="Y29" s="55"/>
      <c r="Z29" s="58"/>
      <c r="AA29" s="55"/>
      <c r="AB29" s="58"/>
      <c r="AC29" s="55"/>
      <c r="AF29" s="64"/>
      <c r="AG29" s="74"/>
    </row>
    <row r="30" spans="1:33" s="56" customFormat="1" ht="17.25" customHeight="1" x14ac:dyDescent="0.25">
      <c r="A30" s="57" t="s">
        <v>22</v>
      </c>
      <c r="B30" s="58">
        <v>3349.51</v>
      </c>
      <c r="C30" s="52">
        <f t="shared" si="0"/>
        <v>4086.4</v>
      </c>
      <c r="D30" s="58">
        <v>4583.51</v>
      </c>
      <c r="E30" s="52">
        <f t="shared" si="0"/>
        <v>5591.88</v>
      </c>
      <c r="F30" s="58">
        <v>3484.51</v>
      </c>
      <c r="G30" s="52">
        <f t="shared" ref="G30" si="67">ROUND(F30*1.22,2)</f>
        <v>4251.1000000000004</v>
      </c>
      <c r="H30" s="58">
        <v>4015.51</v>
      </c>
      <c r="I30" s="52">
        <f t="shared" ref="I30" si="68">ROUND(H30*1.22,2)</f>
        <v>4898.92</v>
      </c>
      <c r="J30" s="60">
        <v>3090.6</v>
      </c>
      <c r="K30" s="52">
        <f t="shared" ref="K30" si="69">ROUND(J30*1.22,2)</f>
        <v>3770.53</v>
      </c>
      <c r="L30" s="60"/>
      <c r="M30" s="55"/>
      <c r="N30" s="60"/>
      <c r="O30" s="55"/>
      <c r="P30" s="60"/>
      <c r="Q30" s="55"/>
      <c r="R30" s="60"/>
      <c r="S30" s="55"/>
      <c r="T30" s="60"/>
      <c r="U30" s="55"/>
      <c r="V30" s="60"/>
      <c r="W30" s="55"/>
      <c r="X30" s="60"/>
      <c r="Y30" s="55"/>
      <c r="Z30" s="58"/>
      <c r="AA30" s="55"/>
      <c r="AB30" s="58"/>
      <c r="AC30" s="55"/>
      <c r="AF30" s="64"/>
    </row>
    <row r="31" spans="1:33" s="56" customFormat="1" ht="17.25" customHeight="1" x14ac:dyDescent="0.25">
      <c r="A31" s="57" t="s">
        <v>23</v>
      </c>
      <c r="B31" s="58">
        <v>3181.6</v>
      </c>
      <c r="C31" s="52">
        <f t="shared" si="0"/>
        <v>3881.55</v>
      </c>
      <c r="D31" s="58">
        <v>4415.6000000000004</v>
      </c>
      <c r="E31" s="52">
        <f t="shared" si="0"/>
        <v>5387.03</v>
      </c>
      <c r="F31" s="58">
        <v>3316.6</v>
      </c>
      <c r="G31" s="52">
        <f t="shared" ref="G31" si="70">ROUND(F31*1.22,2)</f>
        <v>4046.25</v>
      </c>
      <c r="H31" s="58">
        <v>3847.6</v>
      </c>
      <c r="I31" s="52">
        <f t="shared" ref="I31" si="71">ROUND(H31*1.22,2)</f>
        <v>4694.07</v>
      </c>
      <c r="J31" s="60">
        <v>2956.05</v>
      </c>
      <c r="K31" s="52">
        <f t="shared" ref="K31" si="72">ROUND(J31*1.22,2)</f>
        <v>3606.38</v>
      </c>
      <c r="L31" s="60"/>
      <c r="M31" s="55"/>
      <c r="N31" s="60"/>
      <c r="O31" s="55"/>
      <c r="P31" s="60"/>
      <c r="Q31" s="55"/>
      <c r="R31" s="60"/>
      <c r="S31" s="55"/>
      <c r="T31" s="60"/>
      <c r="U31" s="55"/>
      <c r="V31" s="60"/>
      <c r="W31" s="55"/>
      <c r="X31" s="60"/>
      <c r="Y31" s="55"/>
      <c r="Z31" s="58"/>
      <c r="AA31" s="55"/>
      <c r="AB31" s="58"/>
      <c r="AC31" s="55"/>
      <c r="AF31" s="64"/>
    </row>
    <row r="32" spans="1:33" s="56" customFormat="1" ht="17.25" customHeight="1" x14ac:dyDescent="0.25">
      <c r="A32" s="57" t="s">
        <v>24</v>
      </c>
      <c r="B32" s="58">
        <v>2683.57</v>
      </c>
      <c r="C32" s="52">
        <f t="shared" si="0"/>
        <v>3273.96</v>
      </c>
      <c r="D32" s="58">
        <v>3917.57</v>
      </c>
      <c r="E32" s="52">
        <f t="shared" si="0"/>
        <v>4779.4399999999996</v>
      </c>
      <c r="F32" s="58">
        <v>2818.57</v>
      </c>
      <c r="G32" s="52">
        <f t="shared" ref="G32" si="73">ROUND(F32*1.22,2)</f>
        <v>3438.66</v>
      </c>
      <c r="H32" s="58">
        <v>3349.57</v>
      </c>
      <c r="I32" s="52">
        <f t="shared" ref="I32" si="74">ROUND(H32*1.22,2)</f>
        <v>4086.48</v>
      </c>
      <c r="J32" s="60">
        <v>2669.23</v>
      </c>
      <c r="K32" s="52">
        <f t="shared" ref="K32" si="75">ROUND(J32*1.22,2)</f>
        <v>3256.46</v>
      </c>
      <c r="L32" s="60"/>
      <c r="M32" s="55"/>
      <c r="N32" s="60"/>
      <c r="O32" s="55"/>
      <c r="P32" s="60"/>
      <c r="Q32" s="55"/>
      <c r="R32" s="60"/>
      <c r="S32" s="55"/>
      <c r="T32" s="60"/>
      <c r="U32" s="55"/>
      <c r="V32" s="60"/>
      <c r="W32" s="55"/>
      <c r="X32" s="60"/>
      <c r="Y32" s="55"/>
      <c r="Z32" s="58"/>
      <c r="AA32" s="55"/>
      <c r="AB32" s="58"/>
      <c r="AC32" s="55"/>
      <c r="AF32" s="64"/>
    </row>
    <row r="33" spans="1:33" s="56" customFormat="1" ht="17.25" customHeight="1" x14ac:dyDescent="0.25">
      <c r="A33" s="57" t="s">
        <v>25</v>
      </c>
      <c r="B33" s="58">
        <v>2998.16</v>
      </c>
      <c r="C33" s="52">
        <f t="shared" si="0"/>
        <v>3657.76</v>
      </c>
      <c r="D33" s="58">
        <v>4232.16</v>
      </c>
      <c r="E33" s="52">
        <f t="shared" si="0"/>
        <v>5163.24</v>
      </c>
      <c r="F33" s="58">
        <v>3133.16</v>
      </c>
      <c r="G33" s="52">
        <f t="shared" ref="G33" si="76">ROUND(F33*1.22,2)</f>
        <v>3822.46</v>
      </c>
      <c r="H33" s="58">
        <v>3664.16</v>
      </c>
      <c r="I33" s="52">
        <f t="shared" ref="I33" si="77">ROUND(H33*1.22,2)</f>
        <v>4470.28</v>
      </c>
      <c r="J33" s="60">
        <v>2787.38</v>
      </c>
      <c r="K33" s="52">
        <f t="shared" ref="K33" si="78">ROUND(J33*1.22,2)</f>
        <v>3400.6</v>
      </c>
      <c r="L33" s="60"/>
      <c r="M33" s="55"/>
      <c r="N33" s="60"/>
      <c r="O33" s="55"/>
      <c r="P33" s="60"/>
      <c r="Q33" s="55"/>
      <c r="R33" s="60"/>
      <c r="S33" s="55"/>
      <c r="T33" s="60"/>
      <c r="U33" s="55"/>
      <c r="V33" s="60"/>
      <c r="W33" s="55"/>
      <c r="X33" s="60"/>
      <c r="Y33" s="55"/>
      <c r="Z33" s="58"/>
      <c r="AA33" s="55"/>
      <c r="AB33" s="58"/>
      <c r="AC33" s="55"/>
      <c r="AD33" s="74"/>
      <c r="AF33" s="64"/>
    </row>
    <row r="34" spans="1:33" s="56" customFormat="1" ht="17.25" customHeight="1" x14ac:dyDescent="0.25">
      <c r="A34" s="57" t="s">
        <v>26</v>
      </c>
      <c r="B34" s="58">
        <v>3035.93</v>
      </c>
      <c r="C34" s="52">
        <f t="shared" si="0"/>
        <v>3703.83</v>
      </c>
      <c r="D34" s="58">
        <v>4269.93</v>
      </c>
      <c r="E34" s="52">
        <f t="shared" si="0"/>
        <v>5209.3100000000004</v>
      </c>
      <c r="F34" s="58">
        <v>3170.93</v>
      </c>
      <c r="G34" s="52">
        <f t="shared" ref="G34" si="79">ROUND(F34*1.22,2)</f>
        <v>3868.53</v>
      </c>
      <c r="H34" s="58">
        <v>3701.93</v>
      </c>
      <c r="I34" s="52">
        <f t="shared" ref="I34" si="80">ROUND(H34*1.22,2)</f>
        <v>4516.3500000000004</v>
      </c>
      <c r="J34" s="60">
        <v>2380.0500000000002</v>
      </c>
      <c r="K34" s="52">
        <f t="shared" ref="K34" si="81">ROUND(J34*1.22,2)</f>
        <v>2903.66</v>
      </c>
      <c r="L34" s="60"/>
      <c r="M34" s="55"/>
      <c r="N34" s="60"/>
      <c r="O34" s="55"/>
      <c r="P34" s="60"/>
      <c r="Q34" s="55"/>
      <c r="R34" s="60"/>
      <c r="S34" s="55"/>
      <c r="T34" s="60"/>
      <c r="U34" s="55"/>
      <c r="V34" s="60"/>
      <c r="W34" s="55"/>
      <c r="X34" s="60"/>
      <c r="Y34" s="55"/>
      <c r="Z34" s="58"/>
      <c r="AA34" s="55"/>
      <c r="AB34" s="58"/>
      <c r="AC34" s="55"/>
      <c r="AE34" s="74"/>
      <c r="AF34" s="64"/>
    </row>
    <row r="35" spans="1:33" s="56" customFormat="1" ht="17.25" customHeight="1" thickBot="1" x14ac:dyDescent="0.3">
      <c r="A35" s="62" t="s">
        <v>29</v>
      </c>
      <c r="B35" s="42">
        <v>2071</v>
      </c>
      <c r="C35" s="66">
        <f t="shared" si="0"/>
        <v>2526.62</v>
      </c>
      <c r="D35" s="42">
        <v>3306</v>
      </c>
      <c r="E35" s="66">
        <f t="shared" si="0"/>
        <v>4033.32</v>
      </c>
      <c r="F35" s="42">
        <v>2207</v>
      </c>
      <c r="G35" s="66">
        <f t="shared" ref="G35" si="82">ROUND(F35*1.22,2)</f>
        <v>2692.54</v>
      </c>
      <c r="H35" s="42">
        <v>2737</v>
      </c>
      <c r="I35" s="66">
        <f t="shared" ref="I35" si="83">ROUND(H35*1.22,2)</f>
        <v>3339.14</v>
      </c>
      <c r="J35" s="45">
        <v>1817</v>
      </c>
      <c r="K35" s="66">
        <f t="shared" ref="K35" si="84">ROUND(J35*1.22,2)</f>
        <v>2216.7399999999998</v>
      </c>
      <c r="L35" s="45"/>
      <c r="M35" s="43"/>
      <c r="N35" s="45"/>
      <c r="O35" s="43"/>
      <c r="P35" s="45"/>
      <c r="Q35" s="43"/>
      <c r="R35" s="45"/>
      <c r="S35" s="43"/>
      <c r="T35" s="45"/>
      <c r="U35" s="43"/>
      <c r="V35" s="45"/>
      <c r="W35" s="43"/>
      <c r="X35" s="45"/>
      <c r="Y35" s="43"/>
      <c r="Z35" s="42"/>
      <c r="AA35" s="43"/>
      <c r="AB35" s="42">
        <v>3758.87</v>
      </c>
      <c r="AC35" s="43">
        <f>AB35*1.22</f>
        <v>4585.8213999999998</v>
      </c>
      <c r="AD35" s="74"/>
      <c r="AF35" s="64"/>
      <c r="AG35" s="75"/>
    </row>
    <row r="36" spans="1:33" x14ac:dyDescent="0.2">
      <c r="B36" s="38"/>
      <c r="L36" s="38"/>
      <c r="M36" s="38"/>
      <c r="AG36" s="76"/>
    </row>
    <row r="37" spans="1:33" x14ac:dyDescent="0.2">
      <c r="A37" s="86" t="s">
        <v>73</v>
      </c>
      <c r="B37" s="86"/>
      <c r="C37" s="86"/>
      <c r="D37" s="86"/>
      <c r="E37" s="86"/>
      <c r="F37" s="67"/>
      <c r="G37" s="67"/>
      <c r="H37" s="67"/>
      <c r="I37" s="67"/>
      <c r="J37" s="67"/>
      <c r="K37" s="67"/>
      <c r="L37" s="38"/>
      <c r="M37" s="38"/>
    </row>
    <row r="38" spans="1:33" x14ac:dyDescent="0.2">
      <c r="A38" s="48"/>
      <c r="B38" s="48"/>
    </row>
    <row r="39" spans="1:33" x14ac:dyDescent="0.2">
      <c r="A39" s="70" t="s">
        <v>70</v>
      </c>
      <c r="B39" s="99" t="s">
        <v>69</v>
      </c>
      <c r="C39" s="99"/>
      <c r="D39" s="68" t="s">
        <v>49</v>
      </c>
      <c r="E39" s="69" t="s">
        <v>50</v>
      </c>
      <c r="AE39" s="38"/>
    </row>
    <row r="40" spans="1:33" ht="18" customHeight="1" x14ac:dyDescent="0.2">
      <c r="A40" s="98" t="s">
        <v>51</v>
      </c>
      <c r="B40" s="100" t="s">
        <v>30</v>
      </c>
      <c r="C40" s="100"/>
      <c r="D40" s="72">
        <f>E40/1.22</f>
        <v>3259.7540983606559</v>
      </c>
      <c r="E40" s="72">
        <v>3976.9</v>
      </c>
    </row>
    <row r="41" spans="1:33" ht="18" customHeight="1" x14ac:dyDescent="0.2">
      <c r="A41" s="98"/>
      <c r="B41" s="101" t="s">
        <v>34</v>
      </c>
      <c r="C41" s="101"/>
      <c r="D41" s="72">
        <v>3400</v>
      </c>
      <c r="E41" s="72">
        <f>D41*1.22</f>
        <v>4148</v>
      </c>
    </row>
    <row r="42" spans="1:33" ht="18" customHeight="1" x14ac:dyDescent="0.2">
      <c r="A42" s="98" t="s">
        <v>54</v>
      </c>
      <c r="B42" s="100" t="s">
        <v>43</v>
      </c>
      <c r="C42" s="100"/>
      <c r="D42" s="72">
        <f>E42/1.22</f>
        <v>2418.032786885246</v>
      </c>
      <c r="E42" s="72">
        <v>2950</v>
      </c>
    </row>
    <row r="43" spans="1:33" s="38" customFormat="1" ht="18" customHeight="1" x14ac:dyDescent="0.2">
      <c r="A43" s="98"/>
      <c r="B43" s="101" t="s">
        <v>63</v>
      </c>
      <c r="C43" s="101"/>
      <c r="D43" s="72">
        <f>E43/1.22</f>
        <v>3118.8524590163934</v>
      </c>
      <c r="E43" s="72">
        <v>3805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F43" s="63"/>
    </row>
    <row r="44" spans="1:33" ht="18" customHeight="1" x14ac:dyDescent="0.2">
      <c r="A44" s="98"/>
      <c r="B44" s="101" t="s">
        <v>71</v>
      </c>
      <c r="C44" s="101"/>
      <c r="D44" s="72">
        <f>E44/1.22</f>
        <v>3118.8524590163934</v>
      </c>
      <c r="E44" s="72">
        <v>3805</v>
      </c>
    </row>
    <row r="45" spans="1:33" s="38" customFormat="1" ht="18" customHeight="1" x14ac:dyDescent="0.2">
      <c r="A45" s="71" t="s">
        <v>59</v>
      </c>
      <c r="B45" s="101" t="s">
        <v>60</v>
      </c>
      <c r="C45" s="101"/>
      <c r="D45" s="72">
        <f>E45/1.22</f>
        <v>3770.4918032786886</v>
      </c>
      <c r="E45" s="72">
        <v>4600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F45" s="63"/>
    </row>
    <row r="46" spans="1:33" ht="18" customHeight="1" x14ac:dyDescent="0.2">
      <c r="A46" s="71" t="s">
        <v>67</v>
      </c>
      <c r="B46" s="101" t="s">
        <v>60</v>
      </c>
      <c r="C46" s="101"/>
      <c r="D46" s="72">
        <v>3758.87</v>
      </c>
      <c r="E46" s="72">
        <f>D46*1.22</f>
        <v>4585.8213999999998</v>
      </c>
    </row>
    <row r="47" spans="1:33" x14ac:dyDescent="0.2">
      <c r="A47" s="73" t="s">
        <v>61</v>
      </c>
      <c r="B47" s="101" t="s">
        <v>72</v>
      </c>
      <c r="C47" s="101"/>
      <c r="D47" s="72">
        <f>E47/1.22</f>
        <v>3770.4918032786886</v>
      </c>
      <c r="E47" s="72">
        <v>4600</v>
      </c>
    </row>
    <row r="48" spans="1:33" x14ac:dyDescent="0.2">
      <c r="A48" s="77" t="s">
        <v>74</v>
      </c>
      <c r="B48" s="101" t="s">
        <v>30</v>
      </c>
      <c r="C48" s="101"/>
      <c r="D48" s="72">
        <f>E48/1.22</f>
        <v>1967.2131147540983</v>
      </c>
      <c r="E48" s="72">
        <v>2400</v>
      </c>
    </row>
  </sheetData>
  <mergeCells count="52">
    <mergeCell ref="B48:C48"/>
    <mergeCell ref="L3:O3"/>
    <mergeCell ref="P3:S3"/>
    <mergeCell ref="L5:M5"/>
    <mergeCell ref="N5:O5"/>
    <mergeCell ref="P5:Q5"/>
    <mergeCell ref="R5:S5"/>
    <mergeCell ref="N4:O4"/>
    <mergeCell ref="P4:Q4"/>
    <mergeCell ref="R4:S4"/>
    <mergeCell ref="L4:M4"/>
    <mergeCell ref="B47:C47"/>
    <mergeCell ref="B45:C45"/>
    <mergeCell ref="B46:C46"/>
    <mergeCell ref="T5:U5"/>
    <mergeCell ref="V5:W5"/>
    <mergeCell ref="X5:Y5"/>
    <mergeCell ref="Z5:AA5"/>
    <mergeCell ref="AB3:AC3"/>
    <mergeCell ref="AB4:AC4"/>
    <mergeCell ref="AB5:AC5"/>
    <mergeCell ref="Z4:AA4"/>
    <mergeCell ref="T4:U4"/>
    <mergeCell ref="V4:W4"/>
    <mergeCell ref="X4:Y4"/>
    <mergeCell ref="T3:U3"/>
    <mergeCell ref="V3:W3"/>
    <mergeCell ref="X3:Y3"/>
    <mergeCell ref="Z3:AA3"/>
    <mergeCell ref="A1:K1"/>
    <mergeCell ref="B40:C40"/>
    <mergeCell ref="B5:C5"/>
    <mergeCell ref="D5:E5"/>
    <mergeCell ref="F5:G5"/>
    <mergeCell ref="H5:I5"/>
    <mergeCell ref="J5:K5"/>
    <mergeCell ref="B4:C4"/>
    <mergeCell ref="D4:E4"/>
    <mergeCell ref="F4:G4"/>
    <mergeCell ref="H4:I4"/>
    <mergeCell ref="J4:K4"/>
    <mergeCell ref="A3:A6"/>
    <mergeCell ref="B3:I3"/>
    <mergeCell ref="J3:K3"/>
    <mergeCell ref="A40:A41"/>
    <mergeCell ref="A42:A44"/>
    <mergeCell ref="B39:C39"/>
    <mergeCell ref="B42:C42"/>
    <mergeCell ref="A37:E37"/>
    <mergeCell ref="B41:C41"/>
    <mergeCell ref="B43:C43"/>
    <mergeCell ref="B44:C44"/>
  </mergeCells>
  <pageMargins left="0.7" right="0.7" top="0.75" bottom="0.75" header="0.3" footer="0.3"/>
  <pageSetup paperSize="9" scale="96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2026-01-22T00:34:19Z</cp:lastPrinted>
  <dcterms:created xsi:type="dcterms:W3CDTF">2024-09-09T23:50:30Z</dcterms:created>
  <dcterms:modified xsi:type="dcterms:W3CDTF">2026-06-24T00:07:52Z</dcterms:modified>
</cp:coreProperties>
</file>